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rre Desarrolladores" sheetId="1" r:id="rId4"/>
    <sheet state="visible" name="Monitor Desarrolladores" sheetId="2" r:id="rId5"/>
    <sheet state="visible" name="Procesador Desarrolladores" sheetId="3" r:id="rId6"/>
    <sheet state="visible" name="SSD Desarrolladores" sheetId="4" r:id="rId7"/>
    <sheet state="visible" name="RAM Desarrolladores" sheetId="5" r:id="rId8"/>
    <sheet state="visible" name="Teclado Desarrolladores" sheetId="6" r:id="rId9"/>
    <sheet state="visible" name="Tarjeta grafica Desarrolladores" sheetId="7" r:id="rId10"/>
    <sheet state="visible" name="Mouse Desarrolladores" sheetId="8" r:id="rId11"/>
    <sheet state="visible" name="Equipo Portátil Desarrolladores" sheetId="9" r:id="rId12"/>
    <sheet state="visible" name=" Disco Duro Ext Desarrolladores" sheetId="10" r:id="rId13"/>
    <sheet state="visible" name=" Servidor " sheetId="11" r:id="rId14"/>
    <sheet state="visible" name="Office licencia" sheetId="12" r:id="rId15"/>
    <sheet state="visible" name="windows 11 licencia" sheetId="13" r:id="rId16"/>
    <sheet state="visible" name="Anti-virus" sheetId="14" r:id="rId17"/>
    <sheet state="visible" name="Servicio de Internet" sheetId="15" r:id="rId18"/>
    <sheet state="visible" name="SERVICIO DE AGUA" sheetId="16" r:id="rId19"/>
    <sheet state="visible" name="SERVICIO DE ENERGÍA ELÉCTRICA" sheetId="17" r:id="rId20"/>
    <sheet state="visible" name="SERVICIO DE SOPORTE TÉCNICO Y M" sheetId="18" r:id="rId21"/>
  </sheets>
  <definedNames/>
  <calcPr/>
  <extLst>
    <ext uri="GoogleSheetsCustomDataVersion2">
      <go:sheetsCustomData xmlns:go="http://customooxmlschemas.google.com/" r:id="rId22" roundtripDataChecksum="VqtUTbWLoAts6T00zW/TrqS4Fh2bncpeNtKnFT1gGJg="/>
    </ext>
  </extLst>
</workbook>
</file>

<file path=xl/sharedStrings.xml><?xml version="1.0" encoding="utf-8"?>
<sst xmlns="http://schemas.openxmlformats.org/spreadsheetml/2006/main" count="595" uniqueCount="286">
  <si>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</si>
  <si>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</si>
  <si>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</si>
  <si>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</si>
  <si>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</si>
  <si>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</si>
  <si>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</si>
  <si>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</si>
  <si>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</si>
  <si>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</si>
  <si>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</si>
  <si>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</si>
  <si>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</si>
  <si>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Alkosto</t>
  </si>
  <si>
    <t>— Nombre: Alkosto
— Web: alkosto.com
— Teléfono nacional: 018000 111 448</t>
  </si>
  <si>
    <t>NZXT H510 Flow, gabinete Mid Tower, excelente flujo de aire, acero + vidrio templado.</t>
  </si>
  <si>
    <t>105,07 USD</t>
  </si>
  <si>
    <t>4.200 COP/USD</t>
  </si>
  <si>
    <t xml:space="preserve">CONTADO </t>
  </si>
  <si>
    <t>Buena ventilación, estructura robusta.</t>
  </si>
  <si>
    <t xml:space="preserve">Nº2 </t>
  </si>
  <si>
    <t>PC Store Colombia</t>
  </si>
  <si>
    <t>— Nombre: PC Store Colombia
— Dirección: C.C. La Pasarela, Av 5 norte # 23DN-68 local 293
— Teléfonos: 316 361 6821 / 317 349 2998</t>
  </si>
  <si>
    <t>96,33 USD</t>
  </si>
  <si>
    <t>Tienda especializada con precios competitivos en chasis.</t>
  </si>
  <si>
    <t>Nº 3</t>
  </si>
  <si>
    <t>TecnoTienda</t>
  </si>
  <si>
    <t>— Nombre: TecnoTienda
— Dirección posible (Bogotá): C.C. Suba, Cl. 145 # 91-19
— Teléfono sede Bogotá: 314 257 0236</t>
  </si>
  <si>
    <t>102,00 USD</t>
  </si>
  <si>
    <t>Chasis de buena ventilación y calidad estructural.</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</si>
  <si>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</si>
  <si>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</si>
  <si>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Empresa</t>
    </r>
    <r>
      <rPr>
        <rFont val="Arial"/>
        <b val="0"/>
        <i/>
        <color theme="1"/>
        <sz val="10.0"/>
      </rPr>
      <t xml:space="preserve">
(Nombre fiscal de la empresa)</t>
    </r>
  </si>
  <si>
    <r>
      <rPr>
        <rFont val="Arial"/>
        <b/>
        <color theme="1"/>
        <sz val="10.0"/>
      </rPr>
      <t>Nº de CUIT, Dirección, Teléfono</t>
    </r>
    <r>
      <rPr>
        <rFont val="Arial"/>
        <b val="0"/>
        <i/>
        <color theme="1"/>
        <sz val="10.0"/>
      </rPr>
      <t xml:space="preserve">
(Datos de la empresa)</t>
    </r>
  </si>
  <si>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</si>
  <si>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</si>
  <si>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u/>
      </rPr>
      <t xml:space="preserve">Importe Total
 IVA incluido
</t>
    </r>
    <r>
      <rPr>
        <rFont val="Arial"/>
        <b val="0"/>
        <i/>
        <color theme="1"/>
        <sz val="10.0"/>
        <u/>
      </rPr>
      <t>(moneda nacional)</t>
    </r>
  </si>
  <si>
    <r>
      <rPr>
        <rFont val="Arial"/>
        <b/>
        <color theme="1"/>
        <sz val="10.0"/>
      </rPr>
      <t xml:space="preserve">Importe Total
</t>
    </r>
    <r>
      <rPr>
        <rFont val="Arial"/>
        <b val="0"/>
        <i/>
        <color theme="1"/>
        <sz val="10.0"/>
      </rPr>
      <t>(moneda extranjera)</t>
    </r>
  </si>
  <si>
    <r>
      <rPr>
        <rFont val="Arial"/>
        <b/>
        <color theme="1"/>
        <sz val="10.0"/>
      </rPr>
      <t xml:space="preserve">Forma de Pago 
</t>
    </r>
    <r>
      <rPr>
        <rFont val="Arial"/>
        <b val="0"/>
        <i/>
        <color theme="1"/>
        <sz val="10.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</si>
  <si>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</si>
  <si>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t>LG 27MP60G-B, IPS, 27”, 75 Hz, 1 ms.</t>
  </si>
  <si>
    <t>192,67 USD</t>
  </si>
  <si>
    <t>CONTADO</t>
  </si>
  <si>
    <t>Tiene una resolución de 1920px-1080px.</t>
  </si>
  <si>
    <t>184,17 USD</t>
  </si>
  <si>
    <t>Precio competitivo.</t>
  </si>
  <si>
    <t>189,83 USD</t>
  </si>
  <si>
    <t>Monitor de buena calidad visual.</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</si>
  <si>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</si>
  <si>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</si>
  <si>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</si>
  <si>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</si>
  <si>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</si>
  <si>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</si>
  <si>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</si>
  <si>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</si>
  <si>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</si>
  <si>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</si>
  <si>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AMD Ryzen 5 7600, 6 núcleos, 12 hilos, arquitectura Zen 4.</t>
  </si>
  <si>
    <t>252,17 USD</t>
  </si>
  <si>
    <t xml:space="preserve">CPU de alto rendimiento para productividad. </t>
  </si>
  <si>
    <t>240,83 USD</t>
  </si>
  <si>
    <t>Precio competitivo respecto al mercado.</t>
  </si>
  <si>
    <t>248,87 USD</t>
  </si>
  <si>
    <t>Rendimiento sólido para equipos modernos.</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</si>
  <si>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</si>
  <si>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</si>
  <si>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</si>
  <si>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</si>
  <si>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</si>
  <si>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</si>
  <si>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</si>
  <si>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</si>
  <si>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</si>
  <si>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</si>
  <si>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Samsung 980 NVMe 1TB, lectura 560 MB/s, escritura 530 MB/s.</t>
  </si>
  <si>
    <t>119,00 USD</t>
  </si>
  <si>
    <t>Almacenamiento veloz y confiable.</t>
  </si>
  <si>
    <t>110,50 USD</t>
  </si>
  <si>
    <t>Ideal para sistemas de alto rendimiento.</t>
  </si>
  <si>
    <t>113,33 USD</t>
  </si>
  <si>
    <t>Precio intermedio entre tiendas.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</si>
  <si>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</si>
  <si>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</si>
  <si>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</si>
  <si>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</si>
  <si>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</si>
  <si>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</si>
  <si>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</si>
  <si>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</si>
  <si>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</si>
  <si>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</si>
  <si>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Corsair Vengeance DDR5, 16GB, 5600 MHz, disipador de aluminio.</t>
  </si>
  <si>
    <t>Excelente relación rendimiento/precio</t>
  </si>
  <si>
    <t>90,67 USD</t>
  </si>
  <si>
    <t>Precio más bajo entre los proveedores.</t>
  </si>
  <si>
    <t>94,92 USD</t>
  </si>
  <si>
    <t>Compatible con múltiples plataformas.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</si>
  <si>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</si>
  <si>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</si>
  <si>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</si>
  <si>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</si>
  <si>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</si>
  <si>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</si>
  <si>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</si>
  <si>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</si>
  <si>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</si>
  <si>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</si>
  <si>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Logitech G213 Prodigy, membrana avanzada, RGB.</t>
  </si>
  <si>
    <t>49,58 USD</t>
  </si>
  <si>
    <t>Buena ergonomía y funcionalidades.</t>
  </si>
  <si>
    <t>45,33 USD</t>
  </si>
  <si>
    <t>Precio más accesible.</t>
  </si>
  <si>
    <t>46,75 USD</t>
  </si>
  <si>
    <t>Teclado con buena durabilidad.</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</si>
  <si>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</si>
  <si>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</si>
  <si>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</si>
  <si>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</si>
  <si>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</si>
  <si>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</si>
  <si>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</si>
  <si>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</si>
  <si>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</si>
  <si>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</si>
  <si>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NVIDIA RTX 4060 8GB, DLSS 3, ray tracing.</t>
  </si>
  <si>
    <t>453,33 USD</t>
  </si>
  <si>
    <t>GPU moderna y eficiente.</t>
  </si>
  <si>
    <t>410,83 USD</t>
  </si>
  <si>
    <t>Mejor precio entre tiendas.</t>
  </si>
  <si>
    <t>430,67 USD</t>
  </si>
  <si>
    <t>Excelente rendimiento gráfico.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</si>
  <si>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</si>
  <si>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</si>
  <si>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</si>
  <si>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</si>
  <si>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</si>
  <si>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</si>
  <si>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</si>
  <si>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</si>
  <si>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</si>
  <si>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</si>
  <si>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Logitech MX Vertical, diseño ergonómico, inalámbrico.</t>
  </si>
  <si>
    <t>73,67 USD</t>
  </si>
  <si>
    <t>Reduce tensión en mano y muñeca.</t>
  </si>
  <si>
    <t>68,00 USD</t>
  </si>
  <si>
    <t>Buena alternativa en ergonomía.</t>
  </si>
  <si>
    <t>70,83 USD</t>
  </si>
  <si>
    <t>Calidad alta para trabajo prolongado.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</si>
  <si>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</si>
  <si>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</si>
  <si>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</si>
  <si>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</si>
  <si>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</si>
  <si>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</si>
  <si>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</si>
  <si>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</si>
  <si>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</si>
  <si>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</si>
  <si>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Laptop gaming con GPU dedicada RTX 4060</t>
  </si>
  <si>
    <t>907,62 USD</t>
  </si>
  <si>
    <t>Procesador AMD RYZEN R7 5825U 8 NUCELOS</t>
  </si>
  <si>
    <t>Laptop gaming con GPU dedicada RTX 4061</t>
  </si>
  <si>
    <t>821,67 USD</t>
  </si>
  <si>
    <t>Escudo de privacidad de la cámara WEB física</t>
  </si>
  <si>
    <t>Laptop gaming con GPU dedicada RTX 4062</t>
  </si>
  <si>
    <t>864,64 USD</t>
  </si>
  <si>
    <t>HP Fast Charge. Carga de 0 a 50% en aproximadamente 45 min</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</si>
  <si>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</si>
  <si>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</si>
  <si>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</si>
  <si>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</si>
  <si>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</si>
  <si>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</si>
  <si>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</si>
  <si>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</si>
  <si>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</si>
  <si>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</si>
  <si>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</si>
  <si>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WD Elements 2TB USB 3.0.</t>
  </si>
  <si>
    <t>Buena opción para respaldo externo.</t>
  </si>
  <si>
    <t>62,33 USD</t>
  </si>
  <si>
    <t>Precio más bajo.</t>
  </si>
  <si>
    <t>65,17 USD</t>
  </si>
  <si>
    <t>Compatible con múltiples sistemas.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</si>
  <si>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</si>
  <si>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</si>
  <si>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</si>
  <si>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</si>
  <si>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</si>
  <si>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</si>
  <si>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</si>
  <si>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</si>
  <si>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</si>
  <si>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</si>
  <si>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Google Cloud</t>
  </si>
  <si>
    <t>Servicio mensual estimado para instancia pequeña</t>
  </si>
  <si>
    <t>17,00 USD</t>
  </si>
  <si>
    <t>Costo varía según configuración.</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</si>
  <si>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</si>
  <si>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</si>
  <si>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</si>
  <si>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</si>
  <si>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</si>
  <si>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</si>
  <si>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</si>
  <si>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t>Microsoft 365 Personal (suscripción anual).</t>
  </si>
  <si>
    <t>56,67 USD</t>
  </si>
  <si>
    <t>51,00 USD</t>
  </si>
  <si>
    <t>52,41 USD</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</si>
  <si>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</si>
  <si>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</si>
  <si>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</si>
  <si>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</si>
  <si>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</si>
  <si>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</si>
  <si>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</si>
  <si>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</si>
  <si>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</si>
  <si>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t>Windows 11 Pro licencia digital ESD.</t>
  </si>
  <si>
    <t>59,50 USD</t>
  </si>
  <si>
    <t>60,92 USD</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</si>
  <si>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</si>
  <si>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</si>
  <si>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</si>
  <si>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</si>
  <si>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</si>
  <si>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</si>
  <si>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</si>
  <si>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</si>
  <si>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</si>
  <si>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t>Bitdefender Total Security, 1 año.</t>
  </si>
  <si>
    <t>42,50 USD</t>
  </si>
  <si>
    <t>43,92 USD</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</si>
  <si>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</si>
  <si>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</si>
  <si>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</si>
  <si>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</si>
  <si>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</si>
  <si>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</si>
  <si>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</si>
  <si>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</si>
  <si>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</si>
  <si>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t>Observaciones</t>
  </si>
  <si>
    <t>Claro</t>
  </si>
  <si>
    <t>Servicio de Internet fijo empresarial necesario para la conexión con el servidor en la nube, sincronización de datos, acceso remoto del desarrollador y generación de reportes en tiempo real. El plan contempla una velocidad adecuada para múltiples equipos conectados simultáneamente..</t>
  </si>
  <si>
    <t>Servicio indispensable para la conexión y operación del sistema.</t>
  </si>
  <si>
    <t>Movistar</t>
  </si>
  <si>
    <t>Garantiza estabilidad y buena velocidad de navegación.</t>
  </si>
  <si>
    <t>tigo</t>
  </si>
  <si>
    <t>Permite el acceso continuo al sistema en la nube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</si>
  <si>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</si>
  <si>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</si>
  <si>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</si>
  <si>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</si>
  <si>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</si>
  <si>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</si>
  <si>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</si>
  <si>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</si>
  <si>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</si>
  <si>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</si>
  <si>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Empresa de Servicios Públicos</t>
  </si>
  <si>
    <t>Servicio básico de suministro de agua necesario para el funcionamiento general del establecimiento. Aunque no es utilizado directamente por el sistema, es indispensable para mantener condiciones adecuadas de operación y atención al cliente.</t>
  </si>
  <si>
    <t>Costo varía según configuración</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</si>
  <si>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</si>
  <si>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</si>
  <si>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</si>
  <si>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</si>
  <si>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</si>
  <si>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</si>
  <si>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</si>
  <si>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</si>
  <si>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Empresa de Energía Eléctrica</t>
  </si>
  <si>
    <t>Servicio de energía eléctrica requerido para el funcionamiento de los equipos de cómputo, monitor, impresora térmica, router y demás dispositivos tecnológicos asociados al sistema de inventarios y ventas.</t>
  </si>
  <si>
    <t>Consumo promedio estimado para un pequeño negocio.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</si>
  <si>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</si>
  <si>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</si>
  <si>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</si>
  <si>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</si>
  <si>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</si>
  <si>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</si>
  <si>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</si>
  <si>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</si>
  <si>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Proveedor de Soporte Técnico</t>
  </si>
  <si>
    <t>Servicio de soporte técnico que incluye mantenimiento preventivo y correctivo del sistema, atención de fallas, actualizaciones de software y acompañamiento técnico para garantizar la continuidad operativa del sistema de inventarios y ventas.</t>
  </si>
  <si>
    <t>Servicio clave para la estabilidad y correcto funcionamiento del sistema.</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</si>
</sst>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240A]\ * #,##0.00_-;\-[$$-240A]\ * #,##0.00_-;_-[$$-240A]\ * &quot;-&quot;??_-;_-@"/>
    <numFmt numFmtId="165" formatCode="_([$$-409]* #,##0.00_);_([$$-409]* \(#,##0.00\);_([$$-409]* &quot;-&quot;??_);_(@_)"/>
    <numFmt numFmtId="166" formatCode="_-[$$-409]* #,##0.00_ ;_-[$$-409]* \-#,##0.00\ ;_-[$$-409]* &quot;-&quot;??_ ;_-@_ "/>
    <numFmt numFmtId="167" formatCode="&quot;$&quot;#,##0.00_);[Red]\(&quot;$&quot;#,##0.00\)"/>
    <numFmt numFmtId="168" formatCode="&quot;$&quot;#,##0_);[Red]\(&quot;$&quot;#,##0\)"/>
    <numFmt numFmtId="169" formatCode="&quot;$&quot;\ #,##0;[Red]\-&quot;$&quot;\ #,##0"/>
    <numFmt numFmtId="170" formatCode="_(&quot;$&quot;* #,##0.00_);_(&quot;$&quot;* \(#,##0.00\);_(&quot;$&quot;* &quot;-&quot;??_);_(@_)"/>
  </numFmts>
  <fonts count="32">
    <font>
      <sz val="10.0"/>
      <color rgb="FF000000"/>
      <name val="Arial"/>
      <scheme val="minor"/>
    </font>
    <font>
      <sz val="10.0"/>
      <color theme="1"/>
      <name val="Arial"/>
    </font>
    <font>
      <b/>
      <sz val="12.0"/>
      <color theme="1"/>
      <name val="Arial"/>
    </font>
    <font/>
    <font>
      <b/>
      <sz val="10.0"/>
      <color theme="1"/>
      <name val="Arial"/>
    </font>
    <font>
      <b/>
      <sz val="10.0"/>
      <color theme="1"/>
      <name val="Trebuchet MS"/>
    </font>
    <font>
      <b/>
      <u/>
      <sz val="10.0"/>
      <color theme="1"/>
      <name val="Trebuchet MS"/>
    </font>
    <font>
      <i/>
      <sz val="10.0"/>
      <color theme="1"/>
      <name val="Arial"/>
    </font>
    <font>
      <sz val="10.0"/>
      <color rgb="FF000000"/>
      <name val="Trebuchet MS"/>
    </font>
    <font>
      <u/>
      <sz val="10.0"/>
      <color theme="10"/>
      <name val="Arial"/>
    </font>
    <font>
      <sz val="10.0"/>
      <color rgb="FF000000"/>
      <name val="Arial"/>
    </font>
    <font>
      <u/>
      <sz val="10.0"/>
      <color rgb="FF000000"/>
      <name val="Trebuchet MS"/>
    </font>
    <font>
      <sz val="10.0"/>
      <color theme="1"/>
      <name val="Proxima Nova"/>
    </font>
    <font>
      <sz val="10.0"/>
      <color rgb="FF231F20"/>
      <name val="Trebuchet MS"/>
    </font>
    <font>
      <b/>
      <sz val="10.0"/>
      <color theme="1"/>
      <name val="Open Sans"/>
    </font>
    <font>
      <sz val="10.0"/>
      <color theme="1"/>
      <name val="Montserrat"/>
    </font>
    <font>
      <sz val="10.0"/>
      <color theme="1"/>
      <name val="Trebuchet MS"/>
    </font>
    <font>
      <sz val="10.0"/>
      <color theme="1"/>
      <name val="Arial Narrow"/>
    </font>
    <font>
      <b/>
      <u/>
      <sz val="10.0"/>
      <color theme="1"/>
      <name val="Arial"/>
    </font>
    <font>
      <sz val="10.0"/>
      <color rgb="FF444444"/>
      <name val="Arial"/>
    </font>
    <font>
      <b/>
      <u/>
      <sz val="10.0"/>
      <color theme="1"/>
      <name val="Trebuchet MS"/>
    </font>
    <font>
      <sz val="10.0"/>
      <color rgb="FF333333"/>
      <name val="Arial"/>
    </font>
    <font>
      <sz val="10.0"/>
      <color rgb="FF231F20"/>
      <name val="Arial"/>
    </font>
    <font>
      <sz val="10.0"/>
      <color rgb="FF333E48"/>
      <name val="Arial"/>
    </font>
    <font>
      <sz val="10.0"/>
      <color rgb="FF4A4A4A"/>
      <name val="Arial"/>
    </font>
    <font>
      <sz val="10.0"/>
      <color rgb="FF0F1111"/>
      <name val="Arial"/>
    </font>
    <font>
      <color theme="1"/>
      <name val="Arial"/>
      <scheme val="minor"/>
    </font>
    <font>
      <sz val="10.0"/>
      <color rgb="FF666666"/>
      <name val="Arial"/>
    </font>
    <font>
      <u/>
      <sz val="10.0"/>
      <color theme="1"/>
      <name val="Arial"/>
    </font>
    <font>
      <u/>
      <sz val="10.0"/>
      <color theme="1"/>
      <name val="Arial"/>
    </font>
    <font>
      <u/>
      <sz val="10.0"/>
      <color theme="1"/>
      <name val="Arial"/>
    </font>
    <font>
      <sz val="9.0"/>
      <color theme="1"/>
      <name val="Arial"/>
    </font>
  </fonts>
  <fills count="9">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
      <patternFill patternType="solid">
        <fgColor rgb="FFEFEFEF"/>
        <bgColor rgb="FFEFEFEF"/>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top style="thin">
        <color rgb="FF000000"/>
      </top>
      <bottom/>
    </border>
    <border>
      <left style="thin">
        <color rgb="FF000000"/>
      </left>
      <right style="thin">
        <color rgb="FF000000"/>
      </right>
      <bottom style="thin">
        <color rgb="FF000000"/>
      </bottom>
    </border>
    <border>
      <top style="thin">
        <color rgb="FF000000"/>
      </top>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center" shrinkToFit="0" vertical="center" wrapText="1"/>
    </xf>
    <xf borderId="4" fillId="0" fontId="5" numFmtId="0" xfId="0" applyAlignment="1" applyBorder="1" applyFont="1">
      <alignment horizontal="center" shrinkToFit="0" vertical="center" wrapText="1"/>
    </xf>
    <xf borderId="4" fillId="4" fontId="6" numFmtId="0" xfId="0" applyAlignment="1" applyBorder="1" applyFill="1" applyFont="1">
      <alignment horizontal="center" shrinkToFit="0" vertical="center" wrapText="1"/>
    </xf>
    <xf borderId="5" fillId="5" fontId="4" numFmtId="0" xfId="0" applyAlignment="1" applyBorder="1" applyFill="1" applyFont="1">
      <alignment horizontal="center" shrinkToFit="0" vertical="center" wrapText="1"/>
    </xf>
    <xf borderId="0" fillId="0" fontId="7" numFmtId="0" xfId="0" applyAlignment="1" applyFont="1">
      <alignment horizontal="center" vertical="center"/>
    </xf>
    <xf borderId="4" fillId="0" fontId="4" numFmtId="0" xfId="0" applyAlignment="1" applyBorder="1" applyFont="1">
      <alignment horizontal="center" vertical="center"/>
    </xf>
    <xf borderId="4" fillId="0" fontId="8"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4" fillId="6" fontId="10" numFmtId="0" xfId="0" applyAlignment="1" applyBorder="1" applyFill="1" applyFont="1">
      <alignment horizontal="center" shrinkToFit="0" vertical="center" wrapText="1"/>
    </xf>
    <xf borderId="4" fillId="0" fontId="8" numFmtId="164" xfId="0" applyAlignment="1" applyBorder="1" applyFont="1" applyNumberFormat="1">
      <alignment horizontal="center" shrinkToFit="0" vertical="center" wrapText="1"/>
    </xf>
    <xf borderId="4" fillId="0" fontId="8" numFmtId="165" xfId="0" applyAlignment="1" applyBorder="1" applyFont="1" applyNumberFormat="1">
      <alignment horizontal="center" shrinkToFit="0" vertical="center" wrapText="1"/>
    </xf>
    <xf borderId="4" fillId="0" fontId="11" numFmtId="166" xfId="0" applyAlignment="1" applyBorder="1" applyFont="1" applyNumberFormat="1">
      <alignment horizontal="center" shrinkToFit="0" vertical="center" wrapText="1"/>
    </xf>
    <xf borderId="4" fillId="0" fontId="10" numFmtId="0" xfId="0" applyAlignment="1" applyBorder="1" applyFont="1">
      <alignment horizontal="center" vertical="center"/>
    </xf>
    <xf borderId="6" fillId="6" fontId="12" numFmtId="0" xfId="0" applyAlignment="1" applyBorder="1" applyFont="1">
      <alignment horizontal="center" shrinkToFit="0" vertical="center" wrapText="1"/>
    </xf>
    <xf borderId="4" fillId="0" fontId="13" numFmtId="0" xfId="0" applyAlignment="1" applyBorder="1" applyFont="1">
      <alignment horizontal="center" shrinkToFit="0" vertical="center" wrapText="1"/>
    </xf>
    <xf borderId="6" fillId="6" fontId="14" numFmtId="0" xfId="0" applyAlignment="1" applyBorder="1" applyFont="1">
      <alignment horizontal="center" shrinkToFit="0" vertical="center" wrapText="1"/>
    </xf>
    <xf borderId="6" fillId="6" fontId="15" numFmtId="0" xfId="0" applyAlignment="1" applyBorder="1" applyFont="1">
      <alignment horizontal="center" shrinkToFit="0" vertical="center" wrapText="1"/>
    </xf>
    <xf borderId="4" fillId="0" fontId="1" numFmtId="0" xfId="0" applyBorder="1" applyFont="1"/>
    <xf borderId="4" fillId="0" fontId="16" numFmtId="0" xfId="0" applyAlignment="1" applyBorder="1" applyFont="1">
      <alignment horizontal="left" shrinkToFit="0" vertical="top" wrapText="1"/>
    </xf>
    <xf borderId="1" fillId="0" fontId="4" numFmtId="0" xfId="0" applyAlignment="1" applyBorder="1" applyFont="1">
      <alignment horizontal="left" shrinkToFit="0" vertical="center" wrapText="1"/>
    </xf>
    <xf borderId="0" fillId="0" fontId="17" numFmtId="0" xfId="0" applyAlignment="1" applyFont="1">
      <alignment horizontal="center" shrinkToFit="0" vertical="center" wrapText="1"/>
    </xf>
    <xf borderId="4" fillId="0" fontId="4" numFmtId="0" xfId="0" applyAlignment="1" applyBorder="1" applyFont="1">
      <alignment horizontal="center" shrinkToFit="0" vertical="center" wrapText="1"/>
    </xf>
    <xf borderId="4" fillId="4" fontId="18" numFmtId="0" xfId="0" applyAlignment="1" applyBorder="1" applyFont="1">
      <alignment horizontal="center" shrinkToFit="0" vertical="center" wrapText="1"/>
    </xf>
    <xf borderId="4" fillId="0" fontId="10" numFmtId="0" xfId="0" applyAlignment="1" applyBorder="1" applyFont="1">
      <alignment horizontal="center" shrinkToFit="0" vertical="center" wrapText="1"/>
    </xf>
    <xf borderId="4" fillId="0" fontId="10" numFmtId="167" xfId="0" applyAlignment="1" applyBorder="1" applyFont="1" applyNumberFormat="1">
      <alignment horizontal="center" shrinkToFit="0" vertical="center" wrapText="1"/>
    </xf>
    <xf borderId="4" fillId="0" fontId="1" numFmtId="165" xfId="0" applyAlignment="1" applyBorder="1" applyFont="1" applyNumberFormat="1">
      <alignment horizontal="center" shrinkToFit="0" vertical="center" wrapText="1"/>
    </xf>
    <xf borderId="4" fillId="6" fontId="10" numFmtId="0" xfId="0" applyAlignment="1" applyBorder="1" applyFont="1">
      <alignment shrinkToFit="0" vertical="center" wrapText="1"/>
    </xf>
    <xf borderId="4" fillId="0" fontId="1" numFmtId="165" xfId="0" applyAlignment="1" applyBorder="1" applyFont="1" applyNumberFormat="1">
      <alignment horizontal="center" shrinkToFit="0" vertical="top" wrapText="1"/>
    </xf>
    <xf borderId="4" fillId="7" fontId="19" numFmtId="0" xfId="0" applyAlignment="1" applyBorder="1" applyFill="1" applyFont="1">
      <alignment shrinkToFit="0" vertical="center" wrapText="1"/>
    </xf>
    <xf borderId="4" fillId="0" fontId="10" numFmtId="168" xfId="0" applyAlignment="1" applyBorder="1" applyFont="1" applyNumberFormat="1">
      <alignment horizontal="center" shrinkToFit="0" vertical="center" wrapText="1"/>
    </xf>
    <xf borderId="7" fillId="3" fontId="4" numFmtId="0" xfId="0" applyAlignment="1" applyBorder="1" applyFont="1">
      <alignment horizontal="center" shrinkToFit="0" vertical="center" wrapText="1"/>
    </xf>
    <xf borderId="8" fillId="0" fontId="5" numFmtId="0" xfId="0" applyAlignment="1" applyBorder="1" applyFont="1">
      <alignment horizontal="center" shrinkToFit="0" vertical="center" wrapText="1"/>
    </xf>
    <xf borderId="7" fillId="4" fontId="20" numFmtId="0" xfId="0" applyAlignment="1" applyBorder="1" applyFont="1">
      <alignment horizontal="center" shrinkToFit="0" vertical="center" wrapText="1"/>
    </xf>
    <xf borderId="9" fillId="5" fontId="4" numFmtId="0" xfId="0" applyAlignment="1" applyBorder="1" applyFont="1">
      <alignment horizontal="center" shrinkToFit="0" vertical="center" wrapText="1"/>
    </xf>
    <xf borderId="0" fillId="0" fontId="10" numFmtId="169" xfId="0" applyAlignment="1" applyFont="1" applyNumberFormat="1">
      <alignment horizontal="center" vertical="center"/>
    </xf>
    <xf borderId="4" fillId="0" fontId="10" numFmtId="169" xfId="0" applyAlignment="1" applyBorder="1" applyFont="1" applyNumberFormat="1">
      <alignment horizontal="center" shrinkToFit="0" vertical="center" wrapText="1"/>
    </xf>
    <xf borderId="4" fillId="6" fontId="21" numFmtId="0" xfId="0" applyAlignment="1" applyBorder="1" applyFont="1">
      <alignment shrinkToFit="0" vertical="center" wrapText="1"/>
    </xf>
    <xf borderId="4" fillId="0" fontId="10" numFmtId="3" xfId="0" applyAlignment="1" applyBorder="1" applyFont="1" applyNumberFormat="1">
      <alignment horizontal="center" shrinkToFit="0" vertical="center" wrapText="1"/>
    </xf>
    <xf borderId="4" fillId="6" fontId="21" numFmtId="0" xfId="0" applyAlignment="1" applyBorder="1" applyFont="1">
      <alignment horizontal="center" shrinkToFit="0" vertical="center" wrapText="1"/>
    </xf>
    <xf borderId="4" fillId="0" fontId="10" numFmtId="0" xfId="0" applyAlignment="1" applyBorder="1" applyFont="1">
      <alignment shrinkToFit="0" vertical="center" wrapText="1"/>
    </xf>
    <xf borderId="4" fillId="0" fontId="10" numFmtId="3" xfId="0" applyAlignment="1" applyBorder="1" applyFont="1" applyNumberFormat="1">
      <alignment shrinkToFit="0" vertical="center" wrapText="1"/>
    </xf>
    <xf borderId="4" fillId="0" fontId="1" numFmtId="0" xfId="0" applyAlignment="1" applyBorder="1" applyFont="1">
      <alignment horizontal="left" shrinkToFit="0" vertical="top" wrapText="1"/>
    </xf>
    <xf borderId="1" fillId="0" fontId="4" numFmtId="0" xfId="0" applyAlignment="1" applyBorder="1" applyFont="1">
      <alignment horizontal="center" vertical="center"/>
    </xf>
    <xf borderId="4" fillId="6" fontId="10" numFmtId="164" xfId="0" applyAlignment="1" applyBorder="1" applyFont="1" applyNumberFormat="1">
      <alignment horizontal="center" shrinkToFit="0" vertical="center" wrapText="1"/>
    </xf>
    <xf borderId="4" fillId="0" fontId="10" numFmtId="164" xfId="0" applyAlignment="1" applyBorder="1" applyFont="1" applyNumberFormat="1">
      <alignment horizontal="center" shrinkToFit="0" vertical="center" wrapText="1"/>
    </xf>
    <xf borderId="4" fillId="0" fontId="10" numFmtId="165" xfId="0" applyAlignment="1" applyBorder="1" applyFont="1" applyNumberFormat="1">
      <alignment horizontal="center" shrinkToFit="0" vertical="top" wrapText="1"/>
    </xf>
    <xf borderId="10" fillId="0" fontId="16" numFmtId="0" xfId="0" applyAlignment="1" applyBorder="1" applyFont="1">
      <alignment horizontal="left" shrinkToFit="0" vertical="top" wrapText="1"/>
    </xf>
    <xf borderId="4" fillId="0" fontId="22" numFmtId="0" xfId="0" applyAlignment="1" applyBorder="1" applyFont="1">
      <alignment horizontal="center" shrinkToFit="0" vertical="center" wrapText="1"/>
    </xf>
    <xf borderId="4" fillId="6" fontId="23" numFmtId="0" xfId="0" applyAlignment="1" applyBorder="1" applyFont="1">
      <alignment horizontal="center" shrinkToFit="0" vertical="center" wrapText="1"/>
    </xf>
    <xf borderId="4" fillId="6" fontId="24" numFmtId="164" xfId="0" applyAlignment="1" applyBorder="1" applyFont="1" applyNumberFormat="1">
      <alignment horizontal="center" shrinkToFit="0" vertical="center" wrapText="1"/>
    </xf>
    <xf borderId="4" fillId="6" fontId="1" numFmtId="164" xfId="0" applyAlignment="1" applyBorder="1" applyFont="1" applyNumberFormat="1">
      <alignment horizontal="center" shrinkToFit="0" vertical="center" wrapText="1"/>
    </xf>
    <xf borderId="4" fillId="0" fontId="10" numFmtId="164" xfId="0" applyAlignment="1" applyBorder="1" applyFont="1" applyNumberFormat="1">
      <alignment shrinkToFit="0" vertical="center" wrapText="1"/>
    </xf>
    <xf borderId="4" fillId="0" fontId="10" numFmtId="0" xfId="0" applyAlignment="1" applyBorder="1" applyFont="1">
      <alignment horizontal="left" shrinkToFit="0" vertical="center" wrapText="1"/>
    </xf>
    <xf borderId="1" fillId="0" fontId="1" numFmtId="0" xfId="0" applyBorder="1" applyFont="1"/>
    <xf borderId="4" fillId="0" fontId="1" numFmtId="0" xfId="0" applyAlignment="1" applyBorder="1" applyFont="1">
      <alignment horizontal="center" shrinkToFit="0" vertical="center" wrapText="1"/>
    </xf>
    <xf borderId="4" fillId="0" fontId="1" numFmtId="164" xfId="0" applyAlignment="1" applyBorder="1" applyFont="1" applyNumberFormat="1">
      <alignment horizontal="center" shrinkToFit="0" vertical="top" wrapText="1"/>
    </xf>
    <xf borderId="4" fillId="0" fontId="1" numFmtId="0" xfId="0" applyAlignment="1" applyBorder="1" applyFont="1">
      <alignment horizontal="center" shrinkToFit="0" vertical="top" wrapText="1"/>
    </xf>
    <xf borderId="4" fillId="6" fontId="1" numFmtId="0" xfId="0" applyAlignment="1" applyBorder="1" applyFont="1">
      <alignment shrinkToFit="0" vertical="center" wrapText="1"/>
    </xf>
    <xf borderId="6" fillId="6" fontId="10" numFmtId="0" xfId="0" applyAlignment="1" applyBorder="1" applyFont="1">
      <alignment horizontal="center" shrinkToFit="0" vertical="center" wrapText="1"/>
    </xf>
    <xf borderId="6" fillId="6" fontId="25" numFmtId="0" xfId="0" applyAlignment="1" applyBorder="1" applyFont="1">
      <alignment horizontal="center" shrinkToFit="0" vertical="center" wrapText="1"/>
    </xf>
    <xf borderId="6" fillId="6" fontId="1" numFmtId="0" xfId="0" applyAlignment="1" applyBorder="1" applyFont="1">
      <alignment horizontal="center" shrinkToFit="0" vertical="center" wrapText="1"/>
    </xf>
    <xf borderId="0" fillId="0" fontId="26" numFmtId="0" xfId="0" applyFont="1"/>
    <xf borderId="4" fillId="6" fontId="27" numFmtId="0" xfId="0" applyAlignment="1" applyBorder="1" applyFont="1">
      <alignment horizontal="center" shrinkToFit="0" vertical="center" wrapText="1"/>
    </xf>
    <xf borderId="4" fillId="7" fontId="19" numFmtId="0" xfId="0" applyAlignment="1" applyBorder="1" applyFont="1">
      <alignment horizontal="center" shrinkToFit="0" vertical="center" wrapText="1"/>
    </xf>
    <xf borderId="4" fillId="6" fontId="1" numFmtId="0" xfId="0" applyAlignment="1" applyBorder="1" applyFont="1">
      <alignment horizontal="center" shrinkToFit="0" vertical="center" wrapText="1"/>
    </xf>
    <xf borderId="4" fillId="0" fontId="1" numFmtId="164" xfId="0" applyAlignment="1" applyBorder="1" applyFont="1" applyNumberFormat="1">
      <alignment horizontal="center" shrinkToFit="0" vertical="center" wrapText="1"/>
    </xf>
    <xf borderId="4" fillId="0" fontId="1" numFmtId="170" xfId="0" applyAlignment="1" applyBorder="1" applyFont="1" applyNumberFormat="1">
      <alignment horizontal="center" shrinkToFit="0" vertical="center" wrapText="1"/>
    </xf>
    <xf borderId="4" fillId="0" fontId="28" numFmtId="0" xfId="0" applyAlignment="1" applyBorder="1" applyFont="1">
      <alignment horizontal="center" shrinkToFit="0" vertical="center" wrapText="1"/>
    </xf>
    <xf borderId="4" fillId="6" fontId="1" numFmtId="165" xfId="0" applyAlignment="1" applyBorder="1" applyFont="1" applyNumberFormat="1">
      <alignment horizontal="center" shrinkToFit="0" vertical="center" wrapText="1"/>
    </xf>
    <xf borderId="0" fillId="0" fontId="4" numFmtId="0" xfId="0" applyAlignment="1" applyFont="1">
      <alignment horizontal="center" vertical="center"/>
    </xf>
    <xf borderId="0" fillId="0" fontId="1" numFmtId="0" xfId="0" applyAlignment="1" applyFont="1">
      <alignment horizontal="center" shrinkToFit="0" vertical="center" wrapText="1"/>
    </xf>
    <xf borderId="11" fillId="0" fontId="29" numFmtId="0" xfId="0" applyAlignment="1" applyBorder="1" applyFont="1">
      <alignment shrinkToFit="0" vertical="center" wrapText="1"/>
    </xf>
    <xf borderId="0" fillId="0" fontId="30" numFmtId="0" xfId="0" applyAlignment="1" applyFont="1">
      <alignment shrinkToFit="0" vertical="center" wrapText="1"/>
    </xf>
    <xf borderId="0" fillId="0" fontId="16" numFmtId="0" xfId="0" applyAlignment="1" applyFont="1">
      <alignment horizontal="left" shrinkToFit="0" vertical="top" wrapText="1"/>
    </xf>
    <xf borderId="0" fillId="0" fontId="10" numFmtId="0" xfId="0" applyFont="1"/>
    <xf borderId="0" fillId="0" fontId="4" numFmtId="0" xfId="0" applyAlignment="1" applyFont="1">
      <alignment shrinkToFit="0" vertical="center" wrapText="1"/>
    </xf>
    <xf borderId="10" fillId="0" fontId="16" numFmtId="3" xfId="0" applyAlignment="1" applyBorder="1" applyFont="1" applyNumberFormat="1">
      <alignment horizontal="center" shrinkToFit="0" vertical="top" wrapText="1"/>
    </xf>
    <xf borderId="4" fillId="0" fontId="16" numFmtId="3" xfId="0" applyAlignment="1" applyBorder="1" applyFont="1" applyNumberFormat="1">
      <alignment horizontal="center" shrinkToFit="0" vertical="top" wrapText="1"/>
    </xf>
    <xf borderId="4" fillId="0" fontId="1" numFmtId="0" xfId="0" applyAlignment="1" applyBorder="1" applyFont="1">
      <alignment shrinkToFit="0" vertical="center" wrapText="1"/>
    </xf>
    <xf borderId="4" fillId="0" fontId="1" numFmtId="164" xfId="0" applyAlignment="1" applyBorder="1" applyFont="1" applyNumberFormat="1">
      <alignment shrinkToFit="0" vertical="center" wrapText="1"/>
    </xf>
    <xf borderId="4" fillId="0" fontId="1" numFmtId="165" xfId="0" applyAlignment="1" applyBorder="1" applyFont="1" applyNumberFormat="1">
      <alignment shrinkToFit="0" vertical="center" wrapText="1"/>
    </xf>
    <xf borderId="4" fillId="0" fontId="31" numFmtId="170" xfId="0" applyAlignment="1" applyBorder="1" applyFont="1" applyNumberFormat="1">
      <alignment horizontal="center" shrinkToFit="0" vertical="center" wrapText="1"/>
    </xf>
    <xf borderId="4" fillId="0" fontId="1" numFmtId="170" xfId="0" applyAlignment="1" applyBorder="1" applyFont="1" applyNumberFormat="1">
      <alignment horizontal="center" shrinkToFit="0" vertical="top" wrapText="1"/>
    </xf>
    <xf borderId="4" fillId="0" fontId="31" numFmtId="0" xfId="0" applyAlignment="1" applyBorder="1" applyFont="1">
      <alignment horizontal="center" shrinkToFit="0" vertical="center" wrapText="1"/>
    </xf>
    <xf borderId="4" fillId="8" fontId="31" numFmtId="0" xfId="0" applyAlignment="1" applyBorder="1" applyFill="1" applyFont="1">
      <alignment horizontal="center" shrinkToFit="0" vertical="center" wrapText="1"/>
    </xf>
    <xf borderId="8" fillId="0" fontId="5" numFmtId="0" xfId="0" applyAlignment="1" applyBorder="1" applyFont="1">
      <alignment horizontal="center" readingOrder="0" shrinkToFit="0" vertical="center" wrapText="1"/>
    </xf>
    <xf borderId="4" fillId="0" fontId="8" numFmtId="0" xfId="0" applyAlignment="1" applyBorder="1" applyFont="1">
      <alignment horizontal="center" readingOrder="0" shrinkToFit="0" vertical="center" wrapText="1"/>
    </xf>
    <xf borderId="4" fillId="6" fontId="1" numFmtId="0" xfId="0" applyAlignment="1" applyBorder="1" applyFont="1">
      <alignment horizontal="center" readingOrder="0" shrinkToFit="0" vertical="center" wrapText="1"/>
    </xf>
    <xf borderId="4" fillId="6" fontId="1" numFmtId="164" xfId="0" applyAlignment="1" applyBorder="1" applyFont="1" applyNumberFormat="1">
      <alignment horizontal="center" readingOrder="0" shrinkToFit="0" vertical="center" wrapText="1"/>
    </xf>
    <xf borderId="4" fillId="0" fontId="13" numFmtId="0" xfId="0" applyAlignment="1" applyBorder="1" applyFont="1">
      <alignment horizontal="center" readingOrder="0" shrinkToFit="0" vertical="center" wrapText="1"/>
    </xf>
    <xf borderId="4" fillId="0" fontId="1" numFmtId="0" xfId="0" applyAlignment="1" applyBorder="1" applyFont="1">
      <alignment horizontal="center" readingOrder="0" shrinkToFit="0" vertical="center" wrapText="1"/>
    </xf>
    <xf borderId="0" fillId="0" fontId="10" numFmtId="169" xfId="0" applyAlignment="1" applyFont="1" applyNumberForma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7" t="s">
        <v>3</v>
      </c>
      <c r="C7" s="7" t="s">
        <v>4</v>
      </c>
      <c r="D7" s="7" t="s">
        <v>5</v>
      </c>
      <c r="E7" s="7" t="s">
        <v>6</v>
      </c>
      <c r="F7" s="8" t="s">
        <v>7</v>
      </c>
      <c r="G7" s="9" t="s">
        <v>8</v>
      </c>
      <c r="H7" s="7" t="s">
        <v>9</v>
      </c>
      <c r="I7" s="7" t="s">
        <v>10</v>
      </c>
      <c r="J7" s="7" t="s">
        <v>11</v>
      </c>
      <c r="K7" s="10"/>
      <c r="L7" s="10"/>
      <c r="M7" s="10"/>
      <c r="N7" s="10"/>
      <c r="O7" s="10"/>
      <c r="P7" s="10"/>
      <c r="Q7" s="10"/>
      <c r="R7" s="10"/>
      <c r="S7" s="10"/>
      <c r="T7" s="10"/>
      <c r="U7" s="10"/>
      <c r="V7" s="10"/>
      <c r="W7" s="10"/>
      <c r="X7" s="10"/>
      <c r="Y7" s="10"/>
      <c r="Z7" s="10"/>
    </row>
    <row r="8" ht="50.25" customHeight="1">
      <c r="A8" s="11" t="s">
        <v>12</v>
      </c>
      <c r="B8" s="12" t="s">
        <v>13</v>
      </c>
      <c r="C8" s="13" t="s">
        <v>14</v>
      </c>
      <c r="D8" s="14" t="s">
        <v>15</v>
      </c>
      <c r="E8" s="15">
        <v>370000.0</v>
      </c>
      <c r="F8" s="15">
        <v>440300.0</v>
      </c>
      <c r="G8" s="16" t="s">
        <v>16</v>
      </c>
      <c r="H8" s="17" t="s">
        <v>17</v>
      </c>
      <c r="I8" s="18" t="s">
        <v>18</v>
      </c>
      <c r="J8" s="19" t="s">
        <v>19</v>
      </c>
    </row>
    <row r="9" ht="99.75" customHeight="1">
      <c r="A9" s="11" t="s">
        <v>20</v>
      </c>
      <c r="B9" s="20" t="s">
        <v>21</v>
      </c>
      <c r="C9" s="13" t="s">
        <v>22</v>
      </c>
      <c r="D9" s="14" t="s">
        <v>15</v>
      </c>
      <c r="E9" s="15">
        <v>340000.0</v>
      </c>
      <c r="F9" s="15">
        <v>404600.0</v>
      </c>
      <c r="G9" s="16" t="s">
        <v>23</v>
      </c>
      <c r="H9" s="17" t="s">
        <v>17</v>
      </c>
      <c r="I9" s="18" t="s">
        <v>18</v>
      </c>
      <c r="J9" s="21" t="s">
        <v>24</v>
      </c>
    </row>
    <row r="10" ht="96.0" customHeight="1">
      <c r="A10" s="11" t="s">
        <v>25</v>
      </c>
      <c r="B10" s="12" t="s">
        <v>26</v>
      </c>
      <c r="C10" s="13" t="s">
        <v>27</v>
      </c>
      <c r="D10" s="14" t="s">
        <v>15</v>
      </c>
      <c r="E10" s="15">
        <v>360000.0</v>
      </c>
      <c r="F10" s="15">
        <v>428400.0</v>
      </c>
      <c r="G10" s="16" t="s">
        <v>28</v>
      </c>
      <c r="H10" s="17" t="s">
        <v>17</v>
      </c>
      <c r="I10" s="18" t="s">
        <v>18</v>
      </c>
      <c r="J10" s="22" t="s">
        <v>29</v>
      </c>
    </row>
    <row r="11" ht="36.0" hidden="1" customHeight="1">
      <c r="A11" s="23"/>
      <c r="B11" s="24"/>
      <c r="C11" s="24"/>
      <c r="D11" s="24"/>
      <c r="E11" s="24"/>
      <c r="F11" s="24"/>
      <c r="G11" s="24"/>
      <c r="H11" s="24"/>
      <c r="I11" s="24"/>
      <c r="J11" s="24"/>
    </row>
    <row r="12" ht="12.75" customHeight="1"/>
    <row r="13" ht="138.75" customHeight="1">
      <c r="A13" s="25" t="s">
        <v>30</v>
      </c>
      <c r="B13" s="4"/>
      <c r="C13" s="4"/>
      <c r="D13" s="4"/>
      <c r="E13" s="4"/>
      <c r="F13" s="4"/>
      <c r="G13" s="4"/>
      <c r="H13" s="4"/>
      <c r="I13" s="4"/>
      <c r="J13" s="5"/>
    </row>
    <row r="14" ht="12.75" customHeight="1"/>
    <row r="15" ht="75.0" customHeight="1">
      <c r="A15" s="25" t="s">
        <v>31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6"/>
      <c r="E26" s="2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27" t="s">
        <v>32</v>
      </c>
      <c r="C7" s="27" t="s">
        <v>33</v>
      </c>
      <c r="D7" s="27" t="s">
        <v>34</v>
      </c>
      <c r="E7" s="27" t="s">
        <v>35</v>
      </c>
      <c r="F7" s="28" t="s">
        <v>36</v>
      </c>
      <c r="G7" s="9" t="s">
        <v>37</v>
      </c>
      <c r="H7" s="27" t="s">
        <v>9</v>
      </c>
      <c r="I7" s="27" t="s">
        <v>38</v>
      </c>
      <c r="J7" s="27" t="s">
        <v>39</v>
      </c>
      <c r="K7" s="10"/>
      <c r="L7" s="10"/>
      <c r="M7" s="10"/>
      <c r="N7" s="10"/>
      <c r="O7" s="10"/>
      <c r="P7" s="10"/>
      <c r="Q7" s="10"/>
      <c r="R7" s="10"/>
      <c r="S7" s="10"/>
      <c r="T7" s="10"/>
      <c r="U7" s="10"/>
      <c r="V7" s="10"/>
      <c r="W7" s="10"/>
      <c r="X7" s="10"/>
      <c r="Y7" s="10"/>
      <c r="Z7" s="10"/>
    </row>
    <row r="8" ht="75.0" customHeight="1">
      <c r="A8" s="27" t="s">
        <v>12</v>
      </c>
      <c r="B8" s="12" t="s">
        <v>13</v>
      </c>
      <c r="C8" s="13" t="s">
        <v>14</v>
      </c>
      <c r="D8" s="29" t="s">
        <v>40</v>
      </c>
      <c r="E8" s="30">
        <v>680000.0</v>
      </c>
      <c r="F8" s="30">
        <v>809200.0</v>
      </c>
      <c r="G8" s="31" t="s">
        <v>41</v>
      </c>
      <c r="H8" s="17" t="s">
        <v>17</v>
      </c>
      <c r="I8" s="29" t="s">
        <v>42</v>
      </c>
      <c r="J8" s="32" t="s">
        <v>43</v>
      </c>
    </row>
    <row r="9" ht="50.25" customHeight="1">
      <c r="A9" s="27" t="s">
        <v>20</v>
      </c>
      <c r="B9" s="20" t="s">
        <v>21</v>
      </c>
      <c r="C9" s="13" t="s">
        <v>22</v>
      </c>
      <c r="D9" s="29" t="s">
        <v>40</v>
      </c>
      <c r="E9" s="30">
        <v>650000.0</v>
      </c>
      <c r="F9" s="30">
        <v>773500.0</v>
      </c>
      <c r="G9" s="33" t="s">
        <v>44</v>
      </c>
      <c r="H9" s="17" t="s">
        <v>17</v>
      </c>
      <c r="I9" s="29" t="s">
        <v>42</v>
      </c>
      <c r="J9" s="34" t="s">
        <v>45</v>
      </c>
    </row>
    <row r="10" ht="50.25" customHeight="1">
      <c r="A10" s="27" t="s">
        <v>25</v>
      </c>
      <c r="B10" s="12" t="s">
        <v>26</v>
      </c>
      <c r="C10" s="13" t="s">
        <v>27</v>
      </c>
      <c r="D10" s="29" t="s">
        <v>40</v>
      </c>
      <c r="E10" s="35">
        <v>670000.0</v>
      </c>
      <c r="F10" s="30">
        <v>797300.0</v>
      </c>
      <c r="G10" s="33" t="s">
        <v>46</v>
      </c>
      <c r="H10" s="17" t="s">
        <v>17</v>
      </c>
      <c r="I10" s="29" t="s">
        <v>42</v>
      </c>
      <c r="J10" s="34" t="s">
        <v>47</v>
      </c>
    </row>
    <row r="11" ht="15.0" hidden="1" customHeight="1">
      <c r="A11" s="23"/>
      <c r="B11" s="24"/>
      <c r="C11" s="24"/>
      <c r="D11" s="24"/>
      <c r="E11" s="24"/>
      <c r="F11" s="24"/>
      <c r="G11" s="24"/>
      <c r="H11" s="24"/>
      <c r="I11" s="24"/>
      <c r="J11" s="24"/>
    </row>
    <row r="12" ht="12.75" customHeight="1"/>
    <row r="13" ht="138.75" customHeight="1">
      <c r="A13" s="25" t="s">
        <v>48</v>
      </c>
      <c r="B13" s="4"/>
      <c r="C13" s="4"/>
      <c r="D13" s="4"/>
      <c r="E13" s="4"/>
      <c r="F13" s="4"/>
      <c r="G13" s="4"/>
      <c r="H13" s="4"/>
      <c r="I13" s="4"/>
      <c r="J13" s="5"/>
    </row>
    <row r="14" ht="12.75" customHeight="1"/>
    <row r="15" ht="75.0" customHeight="1">
      <c r="A15" s="25" t="s">
        <v>49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6"/>
      <c r="E26" s="2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36" t="s">
        <v>2</v>
      </c>
      <c r="B7" s="37" t="s">
        <v>50</v>
      </c>
      <c r="C7" s="37" t="s">
        <v>51</v>
      </c>
      <c r="D7" s="37" t="s">
        <v>52</v>
      </c>
      <c r="E7" s="37" t="s">
        <v>53</v>
      </c>
      <c r="F7" s="38" t="s">
        <v>54</v>
      </c>
      <c r="G7" s="39" t="s">
        <v>55</v>
      </c>
      <c r="H7" s="37" t="s">
        <v>9</v>
      </c>
      <c r="I7" s="37" t="s">
        <v>56</v>
      </c>
      <c r="J7" s="37" t="s">
        <v>57</v>
      </c>
      <c r="K7" s="10"/>
      <c r="L7" s="10"/>
      <c r="M7" s="10"/>
      <c r="N7" s="10"/>
      <c r="O7" s="10"/>
      <c r="P7" s="10"/>
      <c r="Q7" s="10"/>
      <c r="R7" s="10"/>
      <c r="S7" s="10"/>
      <c r="T7" s="10"/>
      <c r="U7" s="10"/>
      <c r="V7" s="10"/>
      <c r="W7" s="10"/>
      <c r="X7" s="10"/>
      <c r="Y7" s="10"/>
      <c r="Z7" s="10"/>
    </row>
    <row r="8" ht="50.25" customHeight="1">
      <c r="A8" s="11" t="s">
        <v>12</v>
      </c>
      <c r="B8" s="12" t="s">
        <v>13</v>
      </c>
      <c r="C8" s="13" t="s">
        <v>14</v>
      </c>
      <c r="D8" s="14" t="s">
        <v>58</v>
      </c>
      <c r="E8" s="35">
        <v>890000.0</v>
      </c>
      <c r="F8" s="40">
        <v>1059100.0</v>
      </c>
      <c r="G8" s="31" t="s">
        <v>59</v>
      </c>
      <c r="H8" s="17" t="s">
        <v>17</v>
      </c>
      <c r="I8" s="18" t="s">
        <v>18</v>
      </c>
      <c r="J8" s="14" t="s">
        <v>60</v>
      </c>
    </row>
    <row r="9" ht="77.25" customHeight="1">
      <c r="A9" s="11" t="s">
        <v>20</v>
      </c>
      <c r="B9" s="20" t="s">
        <v>21</v>
      </c>
      <c r="C9" s="13" t="s">
        <v>22</v>
      </c>
      <c r="D9" s="14" t="s">
        <v>58</v>
      </c>
      <c r="E9" s="35">
        <v>850000.0</v>
      </c>
      <c r="F9" s="41">
        <v>1011500.0</v>
      </c>
      <c r="G9" s="31" t="s">
        <v>61</v>
      </c>
      <c r="H9" s="17" t="s">
        <v>17</v>
      </c>
      <c r="I9" s="18" t="s">
        <v>18</v>
      </c>
      <c r="J9" s="42" t="s">
        <v>62</v>
      </c>
    </row>
    <row r="10" ht="50.25" customHeight="1">
      <c r="A10" s="11" t="s">
        <v>25</v>
      </c>
      <c r="B10" s="12" t="s">
        <v>26</v>
      </c>
      <c r="C10" s="13" t="s">
        <v>27</v>
      </c>
      <c r="D10" s="14" t="s">
        <v>58</v>
      </c>
      <c r="E10" s="43">
        <v>875000.0</v>
      </c>
      <c r="F10" s="41">
        <v>1041250.0</v>
      </c>
      <c r="G10" s="31" t="s">
        <v>63</v>
      </c>
      <c r="H10" s="17" t="s">
        <v>17</v>
      </c>
      <c r="I10" s="18" t="s">
        <v>18</v>
      </c>
      <c r="J10" s="44" t="s">
        <v>64</v>
      </c>
    </row>
    <row r="11" ht="15.0" hidden="1" customHeight="1">
      <c r="A11" s="23"/>
      <c r="B11" s="45"/>
      <c r="C11" s="29"/>
      <c r="D11" s="45"/>
      <c r="E11" s="46"/>
      <c r="F11" s="45"/>
      <c r="G11" s="47"/>
      <c r="H11" s="47"/>
      <c r="I11" s="47"/>
      <c r="J11" s="47"/>
    </row>
    <row r="12" ht="12.75" customHeight="1"/>
    <row r="13" ht="138.75" customHeight="1">
      <c r="A13" s="25" t="s">
        <v>65</v>
      </c>
      <c r="B13" s="4"/>
      <c r="C13" s="4"/>
      <c r="D13" s="4"/>
      <c r="E13" s="4"/>
      <c r="F13" s="4"/>
      <c r="G13" s="4"/>
      <c r="H13" s="4"/>
      <c r="I13" s="4"/>
      <c r="J13" s="5"/>
    </row>
    <row r="14" ht="12.75" customHeight="1"/>
    <row r="15" ht="75.0" customHeight="1">
      <c r="A15" s="25" t="s">
        <v>66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6"/>
      <c r="E26" s="2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7" t="s">
        <v>67</v>
      </c>
      <c r="C7" s="37" t="s">
        <v>68</v>
      </c>
      <c r="D7" s="37" t="s">
        <v>69</v>
      </c>
      <c r="E7" s="37" t="s">
        <v>70</v>
      </c>
      <c r="F7" s="38" t="s">
        <v>71</v>
      </c>
      <c r="G7" s="39" t="s">
        <v>72</v>
      </c>
      <c r="H7" s="37" t="s">
        <v>9</v>
      </c>
      <c r="I7" s="37" t="s">
        <v>73</v>
      </c>
      <c r="J7" s="37" t="s">
        <v>74</v>
      </c>
      <c r="K7" s="10"/>
      <c r="L7" s="10"/>
      <c r="M7" s="10"/>
      <c r="N7" s="10"/>
      <c r="O7" s="10"/>
      <c r="P7" s="10"/>
      <c r="Q7" s="10"/>
      <c r="R7" s="10"/>
      <c r="S7" s="10"/>
      <c r="T7" s="10"/>
      <c r="U7" s="10"/>
      <c r="V7" s="10"/>
      <c r="W7" s="10"/>
      <c r="X7" s="10"/>
      <c r="Y7" s="10"/>
      <c r="Z7" s="10"/>
    </row>
    <row r="8" ht="50.25" customHeight="1">
      <c r="A8" s="48" t="s">
        <v>12</v>
      </c>
      <c r="B8" s="12" t="s">
        <v>13</v>
      </c>
      <c r="C8" s="13" t="s">
        <v>14</v>
      </c>
      <c r="D8" s="14" t="s">
        <v>75</v>
      </c>
      <c r="E8" s="49">
        <v>420000.0</v>
      </c>
      <c r="F8" s="50">
        <f t="shared" ref="F8:F10" si="1">E8*1.19</f>
        <v>499800</v>
      </c>
      <c r="G8" s="51" t="s">
        <v>76</v>
      </c>
      <c r="H8" s="17" t="s">
        <v>17</v>
      </c>
      <c r="I8" s="18" t="s">
        <v>18</v>
      </c>
      <c r="J8" s="14" t="s">
        <v>77</v>
      </c>
    </row>
    <row r="9" ht="50.25" customHeight="1">
      <c r="A9" s="48" t="s">
        <v>20</v>
      </c>
      <c r="B9" s="20" t="s">
        <v>21</v>
      </c>
      <c r="C9" s="13" t="s">
        <v>22</v>
      </c>
      <c r="D9" s="14" t="s">
        <v>75</v>
      </c>
      <c r="E9" s="49">
        <v>390000.0</v>
      </c>
      <c r="F9" s="50">
        <f t="shared" si="1"/>
        <v>464100</v>
      </c>
      <c r="G9" s="51" t="s">
        <v>78</v>
      </c>
      <c r="H9" s="17" t="s">
        <v>17</v>
      </c>
      <c r="I9" s="18" t="s">
        <v>18</v>
      </c>
      <c r="J9" s="14" t="s">
        <v>79</v>
      </c>
    </row>
    <row r="10" ht="50.25" customHeight="1">
      <c r="A10" s="48" t="s">
        <v>25</v>
      </c>
      <c r="B10" s="12" t="s">
        <v>26</v>
      </c>
      <c r="C10" s="13" t="s">
        <v>27</v>
      </c>
      <c r="D10" s="14" t="s">
        <v>75</v>
      </c>
      <c r="E10" s="50">
        <v>400000.0</v>
      </c>
      <c r="F10" s="50">
        <f t="shared" si="1"/>
        <v>476000</v>
      </c>
      <c r="G10" s="51" t="s">
        <v>80</v>
      </c>
      <c r="H10" s="17" t="s">
        <v>17</v>
      </c>
      <c r="I10" s="18" t="s">
        <v>18</v>
      </c>
      <c r="J10" s="29" t="s">
        <v>81</v>
      </c>
    </row>
    <row r="11" ht="15.0" hidden="1" customHeight="1">
      <c r="A11" s="23"/>
      <c r="B11" s="52"/>
      <c r="C11" s="52"/>
      <c r="D11" s="52"/>
      <c r="E11" s="52"/>
      <c r="F11" s="52"/>
      <c r="G11" s="52"/>
      <c r="H11" s="52"/>
      <c r="I11" s="52"/>
      <c r="J11" s="52"/>
    </row>
    <row r="12" ht="12.75" customHeight="1"/>
    <row r="13" ht="138.75" customHeight="1">
      <c r="A13" s="25" t="s">
        <v>82</v>
      </c>
      <c r="B13" s="4"/>
      <c r="C13" s="4"/>
      <c r="D13" s="4"/>
      <c r="E13" s="4"/>
      <c r="F13" s="4"/>
      <c r="G13" s="4"/>
      <c r="H13" s="4"/>
      <c r="I13" s="4"/>
      <c r="J13" s="5"/>
    </row>
    <row r="14" ht="12.75" customHeight="1"/>
    <row r="15" ht="75.0" customHeight="1">
      <c r="A15" s="25" t="s">
        <v>83</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6"/>
      <c r="E26" s="2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7" t="s">
        <v>84</v>
      </c>
      <c r="C7" s="37" t="s">
        <v>85</v>
      </c>
      <c r="D7" s="37" t="s">
        <v>86</v>
      </c>
      <c r="E7" s="37" t="s">
        <v>87</v>
      </c>
      <c r="F7" s="38" t="s">
        <v>88</v>
      </c>
      <c r="G7" s="39" t="s">
        <v>89</v>
      </c>
      <c r="H7" s="37" t="s">
        <v>9</v>
      </c>
      <c r="I7" s="37" t="s">
        <v>90</v>
      </c>
      <c r="J7" s="37" t="s">
        <v>91</v>
      </c>
      <c r="K7" s="10"/>
      <c r="L7" s="10"/>
      <c r="M7" s="10"/>
      <c r="N7" s="10"/>
      <c r="O7" s="10"/>
      <c r="P7" s="10"/>
      <c r="Q7" s="10"/>
      <c r="R7" s="10"/>
      <c r="S7" s="10"/>
      <c r="T7" s="10"/>
      <c r="U7" s="10"/>
      <c r="V7" s="10"/>
      <c r="W7" s="10"/>
      <c r="X7" s="10"/>
      <c r="Y7" s="10"/>
      <c r="Z7" s="10"/>
    </row>
    <row r="8" ht="50.25" customHeight="1">
      <c r="A8" s="48" t="s">
        <v>12</v>
      </c>
      <c r="B8" s="12" t="s">
        <v>13</v>
      </c>
      <c r="C8" s="13" t="s">
        <v>14</v>
      </c>
      <c r="D8" s="53" t="s">
        <v>92</v>
      </c>
      <c r="E8" s="50">
        <v>340000.0</v>
      </c>
      <c r="F8" s="40">
        <v>404600.0</v>
      </c>
      <c r="G8" s="31" t="s">
        <v>23</v>
      </c>
      <c r="H8" s="17" t="s">
        <v>17</v>
      </c>
      <c r="I8" s="18" t="s">
        <v>18</v>
      </c>
      <c r="J8" s="14" t="s">
        <v>93</v>
      </c>
    </row>
    <row r="9" ht="50.25" customHeight="1">
      <c r="A9" s="48" t="s">
        <v>20</v>
      </c>
      <c r="B9" s="20" t="s">
        <v>21</v>
      </c>
      <c r="C9" s="13" t="s">
        <v>22</v>
      </c>
      <c r="D9" s="53" t="s">
        <v>92</v>
      </c>
      <c r="E9" s="49">
        <v>320000.0</v>
      </c>
      <c r="F9" s="50">
        <v>380800.0</v>
      </c>
      <c r="G9" s="31" t="s">
        <v>94</v>
      </c>
      <c r="H9" s="17" t="s">
        <v>17</v>
      </c>
      <c r="I9" s="18" t="s">
        <v>18</v>
      </c>
      <c r="J9" s="14" t="s">
        <v>95</v>
      </c>
    </row>
    <row r="10" ht="50.25" customHeight="1">
      <c r="A10" s="48" t="s">
        <v>25</v>
      </c>
      <c r="B10" s="12" t="s">
        <v>26</v>
      </c>
      <c r="C10" s="13" t="s">
        <v>27</v>
      </c>
      <c r="D10" s="53" t="s">
        <v>92</v>
      </c>
      <c r="E10" s="49">
        <v>335000.0</v>
      </c>
      <c r="F10" s="50">
        <f>E10*1.19</f>
        <v>398650</v>
      </c>
      <c r="G10" s="31" t="s">
        <v>96</v>
      </c>
      <c r="H10" s="17" t="s">
        <v>17</v>
      </c>
      <c r="I10" s="18" t="s">
        <v>18</v>
      </c>
      <c r="J10" s="54" t="s">
        <v>97</v>
      </c>
    </row>
    <row r="11" ht="15.0" hidden="1" customHeight="1">
      <c r="A11" s="23"/>
      <c r="B11" s="52"/>
      <c r="C11" s="52"/>
      <c r="D11" s="52"/>
      <c r="E11" s="52"/>
      <c r="F11" s="52"/>
      <c r="G11" s="52"/>
      <c r="H11" s="52"/>
      <c r="I11" s="52"/>
      <c r="J11" s="52"/>
    </row>
    <row r="12" ht="12.75" customHeight="1"/>
    <row r="13" ht="138.75" customHeight="1">
      <c r="A13" s="25" t="s">
        <v>98</v>
      </c>
      <c r="B13" s="4"/>
      <c r="C13" s="4"/>
      <c r="D13" s="4"/>
      <c r="E13" s="4"/>
      <c r="F13" s="4"/>
      <c r="G13" s="4"/>
      <c r="H13" s="4"/>
      <c r="I13" s="4"/>
      <c r="J13" s="5"/>
    </row>
    <row r="14" ht="12.75" customHeight="1"/>
    <row r="15" ht="75.0" customHeight="1">
      <c r="A15" s="25" t="s">
        <v>99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6"/>
      <c r="E26" s="2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7" t="s">
        <v>100</v>
      </c>
      <c r="C7" s="37" t="s">
        <v>101</v>
      </c>
      <c r="D7" s="37" t="s">
        <v>102</v>
      </c>
      <c r="E7" s="37" t="s">
        <v>103</v>
      </c>
      <c r="F7" s="38" t="s">
        <v>104</v>
      </c>
      <c r="G7" s="39" t="s">
        <v>105</v>
      </c>
      <c r="H7" s="37" t="s">
        <v>9</v>
      </c>
      <c r="I7" s="37" t="s">
        <v>106</v>
      </c>
      <c r="J7" s="37" t="s">
        <v>107</v>
      </c>
      <c r="K7" s="10"/>
      <c r="L7" s="10"/>
      <c r="M7" s="10"/>
      <c r="N7" s="10"/>
      <c r="O7" s="10"/>
      <c r="P7" s="10"/>
      <c r="Q7" s="10"/>
      <c r="R7" s="10"/>
      <c r="S7" s="10"/>
      <c r="T7" s="10"/>
      <c r="U7" s="10"/>
      <c r="V7" s="10"/>
      <c r="W7" s="10"/>
      <c r="X7" s="10"/>
      <c r="Y7" s="10"/>
      <c r="Z7" s="10"/>
    </row>
    <row r="8" ht="50.25" customHeight="1">
      <c r="A8" s="48" t="s">
        <v>12</v>
      </c>
      <c r="B8" s="12" t="s">
        <v>13</v>
      </c>
      <c r="C8" s="13" t="s">
        <v>14</v>
      </c>
      <c r="D8" s="44" t="s">
        <v>108</v>
      </c>
      <c r="E8" s="55">
        <v>175000.0</v>
      </c>
      <c r="F8" s="50">
        <f t="shared" ref="F8:F10" si="1">E8*1.19</f>
        <v>208250</v>
      </c>
      <c r="G8" s="33" t="s">
        <v>109</v>
      </c>
      <c r="H8" s="17" t="s">
        <v>17</v>
      </c>
      <c r="I8" s="18" t="s">
        <v>18</v>
      </c>
      <c r="J8" s="42" t="s">
        <v>110</v>
      </c>
    </row>
    <row r="9" ht="50.25" customHeight="1">
      <c r="A9" s="48" t="s">
        <v>20</v>
      </c>
      <c r="B9" s="20" t="s">
        <v>21</v>
      </c>
      <c r="C9" s="13" t="s">
        <v>22</v>
      </c>
      <c r="D9" s="44" t="s">
        <v>108</v>
      </c>
      <c r="E9" s="56">
        <v>160000.0</v>
      </c>
      <c r="F9" s="50">
        <f t="shared" si="1"/>
        <v>190400</v>
      </c>
      <c r="G9" s="33" t="s">
        <v>111</v>
      </c>
      <c r="H9" s="17" t="s">
        <v>17</v>
      </c>
      <c r="I9" s="18" t="s">
        <v>18</v>
      </c>
      <c r="J9" s="34" t="s">
        <v>112</v>
      </c>
    </row>
    <row r="10" ht="50.25" customHeight="1">
      <c r="A10" s="48" t="s">
        <v>25</v>
      </c>
      <c r="B10" s="12" t="s">
        <v>26</v>
      </c>
      <c r="C10" s="13" t="s">
        <v>27</v>
      </c>
      <c r="D10" s="44" t="s">
        <v>108</v>
      </c>
      <c r="E10" s="57">
        <v>165000.0</v>
      </c>
      <c r="F10" s="57">
        <f t="shared" si="1"/>
        <v>196350</v>
      </c>
      <c r="G10" s="33" t="s">
        <v>113</v>
      </c>
      <c r="H10" s="17" t="s">
        <v>17</v>
      </c>
      <c r="I10" s="18" t="s">
        <v>18</v>
      </c>
      <c r="J10" s="58" t="s">
        <v>114</v>
      </c>
    </row>
    <row r="11" ht="15.0" hidden="1" customHeight="1">
      <c r="A11" s="59"/>
      <c r="B11" s="45"/>
      <c r="C11" s="29"/>
      <c r="D11" s="45"/>
      <c r="E11" s="57"/>
      <c r="F11" s="57"/>
      <c r="G11" s="47"/>
      <c r="H11" s="47"/>
      <c r="I11" s="47"/>
      <c r="J11" s="47"/>
    </row>
    <row r="12" ht="12.75" customHeight="1"/>
    <row r="13" ht="138.75" customHeight="1">
      <c r="A13" s="25" t="s">
        <v>115</v>
      </c>
      <c r="B13" s="4"/>
      <c r="C13" s="4"/>
      <c r="D13" s="4"/>
      <c r="E13" s="4"/>
      <c r="F13" s="4"/>
      <c r="G13" s="4"/>
      <c r="H13" s="4"/>
      <c r="I13" s="4"/>
      <c r="J13" s="5"/>
    </row>
    <row r="14" ht="12.75" customHeight="1"/>
    <row r="15" ht="75.0" customHeight="1">
      <c r="A15" s="25" t="s">
        <v>116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6"/>
      <c r="E26" s="2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7" t="s">
        <v>117</v>
      </c>
      <c r="C7" s="37" t="s">
        <v>118</v>
      </c>
      <c r="D7" s="37" t="s">
        <v>119</v>
      </c>
      <c r="E7" s="37" t="s">
        <v>120</v>
      </c>
      <c r="F7" s="38" t="s">
        <v>121</v>
      </c>
      <c r="G7" s="39" t="s">
        <v>122</v>
      </c>
      <c r="H7" s="37" t="s">
        <v>9</v>
      </c>
      <c r="I7" s="37" t="s">
        <v>123</v>
      </c>
      <c r="J7" s="37" t="s">
        <v>124</v>
      </c>
      <c r="K7" s="10"/>
      <c r="L7" s="10"/>
      <c r="M7" s="10"/>
      <c r="N7" s="10"/>
      <c r="O7" s="10"/>
      <c r="P7" s="10"/>
      <c r="Q7" s="10"/>
      <c r="R7" s="10"/>
      <c r="S7" s="10"/>
      <c r="T7" s="10"/>
      <c r="U7" s="10"/>
      <c r="V7" s="10"/>
      <c r="W7" s="10"/>
      <c r="X7" s="10"/>
      <c r="Y7" s="10"/>
      <c r="Z7" s="10"/>
    </row>
    <row r="8" ht="50.25" customHeight="1">
      <c r="A8" s="48" t="s">
        <v>12</v>
      </c>
      <c r="B8" s="12" t="s">
        <v>13</v>
      </c>
      <c r="C8" s="13" t="s">
        <v>14</v>
      </c>
      <c r="D8" s="60" t="s">
        <v>125</v>
      </c>
      <c r="E8" s="61">
        <v>1600000.0</v>
      </c>
      <c r="F8" s="61">
        <f t="shared" ref="F8:F10" si="1">E8*1.19</f>
        <v>1904000</v>
      </c>
      <c r="G8" s="33" t="s">
        <v>126</v>
      </c>
      <c r="H8" s="17" t="s">
        <v>17</v>
      </c>
      <c r="I8" s="18" t="s">
        <v>18</v>
      </c>
      <c r="J8" s="62" t="s">
        <v>127</v>
      </c>
    </row>
    <row r="9" ht="50.25" customHeight="1">
      <c r="A9" s="48" t="s">
        <v>20</v>
      </c>
      <c r="B9" s="20" t="s">
        <v>21</v>
      </c>
      <c r="C9" s="13" t="s">
        <v>22</v>
      </c>
      <c r="D9" s="60" t="s">
        <v>125</v>
      </c>
      <c r="E9" s="61">
        <v>1450000.0</v>
      </c>
      <c r="F9" s="61">
        <f t="shared" si="1"/>
        <v>1725500</v>
      </c>
      <c r="G9" s="33" t="s">
        <v>128</v>
      </c>
      <c r="H9" s="17" t="s">
        <v>17</v>
      </c>
      <c r="I9" s="18" t="s">
        <v>18</v>
      </c>
      <c r="J9" s="62" t="s">
        <v>129</v>
      </c>
    </row>
    <row r="10" ht="50.25" customHeight="1">
      <c r="A10" s="48" t="s">
        <v>25</v>
      </c>
      <c r="B10" s="12" t="s">
        <v>26</v>
      </c>
      <c r="C10" s="13" t="s">
        <v>27</v>
      </c>
      <c r="D10" s="60" t="s">
        <v>125</v>
      </c>
      <c r="E10" s="56">
        <v>1520000.0</v>
      </c>
      <c r="F10" s="61">
        <f t="shared" si="1"/>
        <v>1808800</v>
      </c>
      <c r="G10" s="33" t="s">
        <v>130</v>
      </c>
      <c r="H10" s="17" t="s">
        <v>17</v>
      </c>
      <c r="I10" s="18" t="s">
        <v>18</v>
      </c>
      <c r="J10" s="63" t="s">
        <v>131</v>
      </c>
    </row>
    <row r="11" ht="15.0" hidden="1" customHeight="1">
      <c r="A11" s="23"/>
      <c r="B11" s="52"/>
      <c r="C11" s="52"/>
      <c r="D11" s="52"/>
      <c r="E11" s="52"/>
      <c r="F11" s="52"/>
      <c r="G11" s="52"/>
      <c r="H11" s="52"/>
      <c r="I11" s="52"/>
      <c r="J11" s="52"/>
    </row>
    <row r="12" ht="12.75" customHeight="1"/>
    <row r="13" ht="138.75" customHeight="1">
      <c r="A13" s="25" t="s">
        <v>132</v>
      </c>
      <c r="B13" s="4"/>
      <c r="C13" s="4"/>
      <c r="D13" s="4"/>
      <c r="E13" s="4"/>
      <c r="F13" s="4"/>
      <c r="G13" s="4"/>
      <c r="H13" s="4"/>
      <c r="I13" s="4"/>
      <c r="J13" s="5"/>
    </row>
    <row r="14" ht="12.75" customHeight="1"/>
    <row r="15" ht="75.0" customHeight="1">
      <c r="A15" s="25" t="s">
        <v>133</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6"/>
      <c r="E26" s="2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7" t="s">
        <v>134</v>
      </c>
      <c r="C7" s="37" t="s">
        <v>135</v>
      </c>
      <c r="D7" s="37" t="s">
        <v>136</v>
      </c>
      <c r="E7" s="37" t="s">
        <v>137</v>
      </c>
      <c r="F7" s="38" t="s">
        <v>138</v>
      </c>
      <c r="G7" s="39" t="s">
        <v>139</v>
      </c>
      <c r="H7" s="37" t="s">
        <v>9</v>
      </c>
      <c r="I7" s="37" t="s">
        <v>140</v>
      </c>
      <c r="J7" s="37" t="s">
        <v>141</v>
      </c>
      <c r="K7" s="10"/>
      <c r="L7" s="10"/>
      <c r="M7" s="10"/>
      <c r="N7" s="10"/>
      <c r="O7" s="10"/>
      <c r="P7" s="10"/>
      <c r="Q7" s="10"/>
      <c r="R7" s="10"/>
      <c r="S7" s="10"/>
      <c r="T7" s="10"/>
      <c r="U7" s="10"/>
      <c r="V7" s="10"/>
      <c r="W7" s="10"/>
      <c r="X7" s="10"/>
      <c r="Y7" s="10"/>
      <c r="Z7" s="10"/>
    </row>
    <row r="8" ht="50.25" customHeight="1">
      <c r="A8" s="48" t="s">
        <v>12</v>
      </c>
      <c r="B8" s="12" t="s">
        <v>13</v>
      </c>
      <c r="C8" s="13" t="s">
        <v>14</v>
      </c>
      <c r="D8" s="29" t="s">
        <v>142</v>
      </c>
      <c r="E8" s="49">
        <v>260000.0</v>
      </c>
      <c r="F8" s="50">
        <f t="shared" ref="F8:F10" si="1">E8*1.19</f>
        <v>309400</v>
      </c>
      <c r="G8" s="33" t="s">
        <v>143</v>
      </c>
      <c r="H8" s="17" t="s">
        <v>17</v>
      </c>
      <c r="I8" s="18" t="s">
        <v>18</v>
      </c>
      <c r="J8" s="64" t="s">
        <v>144</v>
      </c>
    </row>
    <row r="9" ht="50.25" customHeight="1">
      <c r="A9" s="48" t="s">
        <v>20</v>
      </c>
      <c r="B9" s="20" t="s">
        <v>21</v>
      </c>
      <c r="C9" s="13" t="s">
        <v>22</v>
      </c>
      <c r="D9" s="29" t="s">
        <v>142</v>
      </c>
      <c r="E9" s="50">
        <v>240000.0</v>
      </c>
      <c r="F9" s="50">
        <f t="shared" si="1"/>
        <v>285600</v>
      </c>
      <c r="G9" s="33" t="s">
        <v>145</v>
      </c>
      <c r="H9" s="17" t="s">
        <v>17</v>
      </c>
      <c r="I9" s="18" t="s">
        <v>18</v>
      </c>
      <c r="J9" s="65" t="s">
        <v>146</v>
      </c>
    </row>
    <row r="10" ht="50.25" customHeight="1">
      <c r="A10" s="48" t="s">
        <v>25</v>
      </c>
      <c r="B10" s="12" t="s">
        <v>26</v>
      </c>
      <c r="C10" s="13" t="s">
        <v>27</v>
      </c>
      <c r="D10" s="29" t="s">
        <v>142</v>
      </c>
      <c r="E10" s="49">
        <v>250000.0</v>
      </c>
      <c r="F10" s="50">
        <f t="shared" si="1"/>
        <v>297500</v>
      </c>
      <c r="G10" s="33" t="s">
        <v>147</v>
      </c>
      <c r="H10" s="17" t="s">
        <v>17</v>
      </c>
      <c r="I10" s="18" t="s">
        <v>18</v>
      </c>
      <c r="J10" s="66" t="s">
        <v>148</v>
      </c>
    </row>
    <row r="11" ht="15.0" hidden="1" customHeight="1">
      <c r="A11" s="23"/>
      <c r="B11" s="52"/>
      <c r="C11" s="52"/>
      <c r="D11" s="52"/>
      <c r="E11" s="52"/>
      <c r="F11" s="52"/>
      <c r="G11" s="52"/>
      <c r="H11" s="52"/>
      <c r="I11" s="67" t="s">
        <v>18</v>
      </c>
      <c r="J11" s="52"/>
    </row>
    <row r="12" ht="12.75" customHeight="1"/>
    <row r="13" ht="138.75" customHeight="1">
      <c r="A13" s="25" t="s">
        <v>149</v>
      </c>
      <c r="B13" s="4"/>
      <c r="C13" s="4"/>
      <c r="D13" s="4"/>
      <c r="E13" s="4"/>
      <c r="F13" s="4"/>
      <c r="G13" s="4"/>
      <c r="H13" s="4"/>
      <c r="I13" s="4"/>
      <c r="J13" s="5"/>
    </row>
    <row r="14" ht="12.75" customHeight="1"/>
    <row r="15" ht="75.0" customHeight="1">
      <c r="A15" s="25" t="s">
        <v>150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6"/>
      <c r="E26" s="2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7" t="s">
        <v>151</v>
      </c>
      <c r="C7" s="37" t="s">
        <v>152</v>
      </c>
      <c r="D7" s="37" t="s">
        <v>153</v>
      </c>
      <c r="E7" s="37" t="s">
        <v>154</v>
      </c>
      <c r="F7" s="38" t="s">
        <v>155</v>
      </c>
      <c r="G7" s="39" t="s">
        <v>156</v>
      </c>
      <c r="H7" s="37" t="s">
        <v>9</v>
      </c>
      <c r="I7" s="37" t="s">
        <v>157</v>
      </c>
      <c r="J7" s="37" t="s">
        <v>158</v>
      </c>
      <c r="K7" s="10"/>
      <c r="L7" s="10"/>
      <c r="M7" s="10"/>
      <c r="N7" s="10"/>
      <c r="O7" s="10"/>
      <c r="P7" s="10"/>
      <c r="Q7" s="10"/>
      <c r="R7" s="10"/>
      <c r="S7" s="10"/>
      <c r="T7" s="10"/>
      <c r="U7" s="10"/>
      <c r="V7" s="10"/>
      <c r="W7" s="10"/>
      <c r="X7" s="10"/>
      <c r="Y7" s="10"/>
      <c r="Z7" s="10"/>
    </row>
    <row r="8" ht="50.25" customHeight="1">
      <c r="A8" s="48" t="s">
        <v>12</v>
      </c>
      <c r="B8" s="12" t="s">
        <v>13</v>
      </c>
      <c r="C8" s="13" t="s">
        <v>14</v>
      </c>
      <c r="D8" s="14" t="s">
        <v>159</v>
      </c>
      <c r="E8" s="49">
        <v>3200000.0</v>
      </c>
      <c r="F8" s="49">
        <f t="shared" ref="F8:F10" si="1">E8*1.19</f>
        <v>3808000</v>
      </c>
      <c r="G8" s="33" t="s">
        <v>160</v>
      </c>
      <c r="H8" s="17" t="s">
        <v>17</v>
      </c>
      <c r="I8" s="29" t="s">
        <v>18</v>
      </c>
      <c r="J8" s="68" t="s">
        <v>161</v>
      </c>
    </row>
    <row r="9" ht="50.25" customHeight="1">
      <c r="A9" s="48" t="s">
        <v>20</v>
      </c>
      <c r="B9" s="20" t="s">
        <v>21</v>
      </c>
      <c r="C9" s="13" t="s">
        <v>22</v>
      </c>
      <c r="D9" s="14" t="s">
        <v>162</v>
      </c>
      <c r="E9" s="50">
        <v>2900000.0</v>
      </c>
      <c r="F9" s="49">
        <f t="shared" si="1"/>
        <v>3451000</v>
      </c>
      <c r="G9" s="33" t="s">
        <v>163</v>
      </c>
      <c r="H9" s="17" t="s">
        <v>17</v>
      </c>
      <c r="I9" s="29" t="s">
        <v>18</v>
      </c>
      <c r="J9" s="69" t="s">
        <v>164</v>
      </c>
    </row>
    <row r="10" ht="50.25" customHeight="1">
      <c r="A10" s="48" t="s">
        <v>25</v>
      </c>
      <c r="B10" s="12" t="s">
        <v>26</v>
      </c>
      <c r="C10" s="13" t="s">
        <v>27</v>
      </c>
      <c r="D10" s="14" t="s">
        <v>165</v>
      </c>
      <c r="E10" s="49">
        <v>3050000.0</v>
      </c>
      <c r="F10" s="49">
        <f t="shared" si="1"/>
        <v>3629500</v>
      </c>
      <c r="G10" s="33" t="s">
        <v>166</v>
      </c>
      <c r="H10" s="17" t="s">
        <v>17</v>
      </c>
      <c r="I10" s="29" t="s">
        <v>18</v>
      </c>
      <c r="J10" s="69" t="s">
        <v>167</v>
      </c>
    </row>
    <row r="11" ht="15.0" hidden="1" customHeight="1">
      <c r="A11" s="23"/>
      <c r="B11" s="52"/>
      <c r="C11" s="52"/>
      <c r="D11" s="52"/>
      <c r="E11" s="52"/>
      <c r="F11" s="52"/>
      <c r="G11" s="52"/>
      <c r="H11" s="52"/>
      <c r="I11" s="52"/>
      <c r="J11" s="52"/>
    </row>
    <row r="12" ht="12.75" customHeight="1"/>
    <row r="13" ht="138.75" customHeight="1">
      <c r="A13" s="25" t="s">
        <v>168</v>
      </c>
      <c r="B13" s="4"/>
      <c r="C13" s="4"/>
      <c r="D13" s="4"/>
      <c r="E13" s="4"/>
      <c r="F13" s="4"/>
      <c r="G13" s="4"/>
      <c r="H13" s="4"/>
      <c r="I13" s="4"/>
      <c r="J13" s="5"/>
    </row>
    <row r="14" ht="12.75" customHeight="1"/>
    <row r="15" ht="75.0" customHeight="1">
      <c r="A15" s="25" t="s">
        <v>169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6"/>
      <c r="E26" s="2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t="s">
        <v>170</v>
      </c>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7" t="s">
        <v>171</v>
      </c>
      <c r="C7" s="37" t="s">
        <v>172</v>
      </c>
      <c r="D7" s="37" t="s">
        <v>173</v>
      </c>
      <c r="E7" s="37" t="s">
        <v>174</v>
      </c>
      <c r="F7" s="38" t="s">
        <v>175</v>
      </c>
      <c r="G7" s="39" t="s">
        <v>176</v>
      </c>
      <c r="H7" s="37" t="s">
        <v>9</v>
      </c>
      <c r="I7" s="37" t="s">
        <v>177</v>
      </c>
      <c r="J7" s="37" t="s">
        <v>178</v>
      </c>
      <c r="K7" s="10"/>
      <c r="L7" s="10"/>
      <c r="M7" s="10"/>
      <c r="N7" s="10"/>
      <c r="O7" s="10"/>
      <c r="P7" s="10"/>
      <c r="Q7" s="10"/>
      <c r="R7" s="10"/>
      <c r="S7" s="10"/>
      <c r="T7" s="10"/>
      <c r="U7" s="10"/>
      <c r="V7" s="10"/>
      <c r="W7" s="10"/>
      <c r="X7" s="10"/>
      <c r="Y7" s="10"/>
      <c r="Z7" s="10"/>
    </row>
    <row r="8" ht="50.25" customHeight="1">
      <c r="A8" s="48" t="s">
        <v>12</v>
      </c>
      <c r="B8" s="12" t="s">
        <v>13</v>
      </c>
      <c r="C8" s="13" t="s">
        <v>14</v>
      </c>
      <c r="D8" s="70" t="s">
        <v>179</v>
      </c>
      <c r="E8" s="56">
        <v>240000.0</v>
      </c>
      <c r="F8" s="71">
        <f t="shared" ref="F8:F10" si="1">E8*1.19</f>
        <v>285600</v>
      </c>
      <c r="G8" s="72" t="s">
        <v>145</v>
      </c>
      <c r="H8" s="17" t="s">
        <v>17</v>
      </c>
      <c r="I8" s="60" t="s">
        <v>42</v>
      </c>
      <c r="J8" s="70" t="s">
        <v>180</v>
      </c>
    </row>
    <row r="9" ht="50.25" customHeight="1">
      <c r="A9" s="48" t="s">
        <v>20</v>
      </c>
      <c r="B9" s="20" t="s">
        <v>21</v>
      </c>
      <c r="C9" s="13" t="s">
        <v>22</v>
      </c>
      <c r="D9" s="70" t="s">
        <v>179</v>
      </c>
      <c r="E9" s="56">
        <v>220000.0</v>
      </c>
      <c r="F9" s="71">
        <f t="shared" si="1"/>
        <v>261800</v>
      </c>
      <c r="G9" s="72" t="s">
        <v>181</v>
      </c>
      <c r="H9" s="17" t="s">
        <v>17</v>
      </c>
      <c r="I9" s="60" t="s">
        <v>42</v>
      </c>
      <c r="J9" s="70" t="s">
        <v>182</v>
      </c>
    </row>
    <row r="10" ht="50.25" customHeight="1">
      <c r="A10" s="48" t="s">
        <v>25</v>
      </c>
      <c r="B10" s="12" t="s">
        <v>26</v>
      </c>
      <c r="C10" s="13" t="s">
        <v>27</v>
      </c>
      <c r="D10" s="70" t="s">
        <v>179</v>
      </c>
      <c r="E10" s="56">
        <v>230000.0</v>
      </c>
      <c r="F10" s="71">
        <f t="shared" si="1"/>
        <v>273700</v>
      </c>
      <c r="G10" s="72" t="s">
        <v>183</v>
      </c>
      <c r="H10" s="17" t="s">
        <v>17</v>
      </c>
      <c r="I10" s="60" t="s">
        <v>42</v>
      </c>
      <c r="J10" s="70" t="s">
        <v>184</v>
      </c>
    </row>
    <row r="11" ht="15.0" hidden="1" customHeight="1">
      <c r="A11" s="23"/>
      <c r="B11" s="52"/>
      <c r="C11" s="52"/>
      <c r="D11" s="52"/>
      <c r="E11" s="52"/>
      <c r="F11" s="52"/>
      <c r="G11" s="52"/>
      <c r="H11" s="52"/>
      <c r="I11" s="52"/>
      <c r="J11" s="52"/>
    </row>
    <row r="12" ht="12.75" customHeight="1"/>
    <row r="13" ht="138.75" customHeight="1">
      <c r="A13" s="25" t="s">
        <v>185</v>
      </c>
      <c r="B13" s="4"/>
      <c r="C13" s="4"/>
      <c r="D13" s="4"/>
      <c r="E13" s="4"/>
      <c r="F13" s="4"/>
      <c r="G13" s="4"/>
      <c r="H13" s="4"/>
      <c r="I13" s="4"/>
      <c r="J13" s="5"/>
    </row>
    <row r="14" ht="12.75" customHeight="1"/>
    <row r="15" ht="75.0" customHeight="1">
      <c r="A15" s="25" t="s">
        <v>186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6"/>
      <c r="E26" s="2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17.0"/>
    <col customWidth="1" min="6" max="6" width="21.88"/>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7" t="s">
        <v>187</v>
      </c>
      <c r="C7" s="37" t="s">
        <v>188</v>
      </c>
      <c r="D7" s="37" t="s">
        <v>189</v>
      </c>
      <c r="E7" s="37" t="s">
        <v>190</v>
      </c>
      <c r="F7" s="38" t="s">
        <v>191</v>
      </c>
      <c r="G7" s="39" t="s">
        <v>192</v>
      </c>
      <c r="H7" s="37" t="s">
        <v>9</v>
      </c>
      <c r="I7" s="37" t="s">
        <v>193</v>
      </c>
      <c r="J7" s="37" t="s">
        <v>194</v>
      </c>
      <c r="K7" s="10"/>
      <c r="L7" s="10"/>
      <c r="M7" s="10"/>
      <c r="N7" s="10"/>
      <c r="O7" s="10"/>
      <c r="P7" s="10"/>
      <c r="Q7" s="10"/>
      <c r="R7" s="10"/>
      <c r="S7" s="10"/>
      <c r="T7" s="10"/>
      <c r="U7" s="10"/>
      <c r="V7" s="10"/>
      <c r="W7" s="10"/>
      <c r="X7" s="10"/>
      <c r="Y7" s="10"/>
      <c r="Z7" s="10"/>
    </row>
    <row r="8" ht="50.25" customHeight="1">
      <c r="A8" s="48" t="s">
        <v>12</v>
      </c>
      <c r="B8" s="60" t="s">
        <v>195</v>
      </c>
      <c r="C8" s="73"/>
      <c r="D8" s="70" t="s">
        <v>196</v>
      </c>
      <c r="E8" s="40">
        <v>60000.0</v>
      </c>
      <c r="F8" s="71">
        <f>E8*1.19</f>
        <v>71400</v>
      </c>
      <c r="G8" s="74" t="s">
        <v>197</v>
      </c>
      <c r="H8" s="17" t="s">
        <v>17</v>
      </c>
      <c r="I8" s="60" t="s">
        <v>18</v>
      </c>
      <c r="J8" s="70" t="s">
        <v>198</v>
      </c>
    </row>
    <row r="9" ht="50.25" customHeight="1">
      <c r="A9" s="75"/>
      <c r="B9" s="76"/>
      <c r="C9" s="77"/>
      <c r="D9" s="77"/>
      <c r="E9" s="77"/>
      <c r="F9" s="77"/>
      <c r="G9" s="77"/>
      <c r="H9" s="77"/>
      <c r="I9" s="77"/>
      <c r="J9" s="77"/>
    </row>
    <row r="10" ht="50.25" customHeight="1">
      <c r="A10" s="75"/>
      <c r="B10" s="76"/>
      <c r="C10" s="78"/>
      <c r="D10" s="78"/>
      <c r="E10" s="78"/>
      <c r="F10" s="78"/>
      <c r="G10" s="78"/>
      <c r="H10" s="78"/>
      <c r="I10" s="78"/>
      <c r="J10" s="78"/>
    </row>
    <row r="11" ht="15.0" hidden="1" customHeight="1">
      <c r="A11" s="1"/>
      <c r="B11" s="79"/>
      <c r="C11" s="79"/>
      <c r="D11" s="79"/>
      <c r="E11" s="79"/>
      <c r="F11" s="79"/>
      <c r="G11" s="79"/>
      <c r="H11" s="79"/>
      <c r="I11" s="79"/>
      <c r="J11" s="79"/>
    </row>
    <row r="12" ht="12.75" customHeight="1">
      <c r="A12" s="80"/>
      <c r="B12" s="80"/>
      <c r="C12" s="80"/>
      <c r="D12" s="80"/>
      <c r="E12" s="80"/>
      <c r="F12" s="80"/>
      <c r="G12" s="80"/>
      <c r="H12" s="80"/>
      <c r="I12" s="80"/>
      <c r="J12" s="80"/>
    </row>
    <row r="13" ht="138.75" customHeight="1">
      <c r="A13" s="81"/>
      <c r="B13" s="1"/>
      <c r="C13" s="1"/>
      <c r="D13" s="1"/>
      <c r="E13" s="1"/>
      <c r="F13" s="1"/>
      <c r="G13" s="1"/>
      <c r="H13" s="1"/>
      <c r="I13" s="1"/>
      <c r="J13" s="1"/>
    </row>
    <row r="14" ht="12.75" customHeight="1">
      <c r="A14" s="80"/>
      <c r="B14" s="80"/>
      <c r="C14" s="80"/>
      <c r="D14" s="80"/>
      <c r="E14" s="80"/>
      <c r="F14" s="80"/>
      <c r="G14" s="80"/>
      <c r="H14" s="80"/>
      <c r="I14" s="80"/>
      <c r="J14" s="80"/>
    </row>
    <row r="15" ht="75.0" customHeight="1">
      <c r="A15" s="81"/>
      <c r="B15" s="1"/>
      <c r="C15" s="1"/>
      <c r="D15" s="1"/>
      <c r="E15" s="1"/>
      <c r="F15" s="1"/>
      <c r="G15" s="1"/>
      <c r="H15" s="1"/>
      <c r="I15" s="1"/>
      <c r="J15" s="1"/>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6"/>
      <c r="E26" s="2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D2:H2"/>
    <mergeCell ref="A5:J5"/>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7" t="s">
        <v>199</v>
      </c>
      <c r="C7" s="37" t="s">
        <v>200</v>
      </c>
      <c r="D7" s="37" t="s">
        <v>201</v>
      </c>
      <c r="E7" s="37" t="s">
        <v>202</v>
      </c>
      <c r="F7" s="38" t="s">
        <v>203</v>
      </c>
      <c r="G7" s="39" t="s">
        <v>204</v>
      </c>
      <c r="H7" s="37" t="s">
        <v>9</v>
      </c>
      <c r="I7" s="37" t="s">
        <v>205</v>
      </c>
      <c r="J7" s="37"/>
      <c r="K7" s="10"/>
      <c r="L7" s="10"/>
      <c r="M7" s="10"/>
      <c r="N7" s="10"/>
      <c r="O7" s="10"/>
      <c r="P7" s="10"/>
      <c r="Q7" s="10"/>
      <c r="R7" s="10"/>
      <c r="S7" s="10"/>
      <c r="T7" s="10"/>
      <c r="U7" s="10"/>
      <c r="V7" s="10"/>
      <c r="W7" s="10"/>
      <c r="X7" s="10"/>
      <c r="Y7" s="10"/>
      <c r="Z7" s="10"/>
    </row>
    <row r="8" ht="50.25" customHeight="1">
      <c r="A8" s="48" t="s">
        <v>12</v>
      </c>
      <c r="B8" s="12" t="s">
        <v>13</v>
      </c>
      <c r="C8" s="13" t="s">
        <v>14</v>
      </c>
      <c r="D8" s="70" t="s">
        <v>206</v>
      </c>
      <c r="E8" s="56">
        <v>200000.0</v>
      </c>
      <c r="F8" s="71">
        <f t="shared" ref="F8:F10" si="1">E8*1.19</f>
        <v>238000</v>
      </c>
      <c r="G8" s="31" t="s">
        <v>207</v>
      </c>
      <c r="H8" s="17" t="s">
        <v>17</v>
      </c>
      <c r="I8" s="60" t="s">
        <v>42</v>
      </c>
      <c r="J8" s="70"/>
    </row>
    <row r="9" ht="50.25" customHeight="1">
      <c r="A9" s="48" t="s">
        <v>20</v>
      </c>
      <c r="B9" s="20" t="s">
        <v>21</v>
      </c>
      <c r="C9" s="13" t="s">
        <v>22</v>
      </c>
      <c r="D9" s="70" t="s">
        <v>206</v>
      </c>
      <c r="E9" s="56">
        <v>180000.0</v>
      </c>
      <c r="F9" s="71">
        <f t="shared" si="1"/>
        <v>214200</v>
      </c>
      <c r="G9" s="31" t="s">
        <v>208</v>
      </c>
      <c r="H9" s="17" t="s">
        <v>17</v>
      </c>
      <c r="I9" s="60" t="s">
        <v>42</v>
      </c>
      <c r="J9" s="70"/>
    </row>
    <row r="10" ht="50.25" customHeight="1">
      <c r="A10" s="48" t="s">
        <v>25</v>
      </c>
      <c r="B10" s="12" t="s">
        <v>26</v>
      </c>
      <c r="C10" s="13" t="s">
        <v>27</v>
      </c>
      <c r="D10" s="70" t="s">
        <v>206</v>
      </c>
      <c r="E10" s="56">
        <v>185000.0</v>
      </c>
      <c r="F10" s="71">
        <f t="shared" si="1"/>
        <v>220150</v>
      </c>
      <c r="G10" s="31" t="s">
        <v>209</v>
      </c>
      <c r="H10" s="17" t="s">
        <v>17</v>
      </c>
      <c r="I10" s="60" t="s">
        <v>42</v>
      </c>
      <c r="J10" s="60"/>
    </row>
    <row r="11" ht="15.0" hidden="1" customHeight="1">
      <c r="A11" s="23"/>
      <c r="B11" s="52"/>
      <c r="C11" s="52"/>
      <c r="D11" s="52"/>
      <c r="E11" s="52"/>
      <c r="F11" s="52"/>
      <c r="G11" s="82">
        <f>F11+E11</f>
        <v>0</v>
      </c>
      <c r="H11" s="52"/>
      <c r="I11" s="52"/>
      <c r="J11" s="52"/>
    </row>
    <row r="12" ht="12.75" customHeight="1">
      <c r="G12" s="83"/>
    </row>
    <row r="13" ht="138.75" customHeight="1">
      <c r="A13" s="25" t="s">
        <v>210</v>
      </c>
      <c r="B13" s="4"/>
      <c r="C13" s="4"/>
      <c r="D13" s="4"/>
      <c r="E13" s="4"/>
      <c r="F13" s="4"/>
      <c r="G13" s="4"/>
      <c r="H13" s="4"/>
      <c r="I13" s="4"/>
      <c r="J13" s="5"/>
    </row>
    <row r="14" ht="12.75" customHeight="1"/>
    <row r="15" ht="75.0" customHeight="1">
      <c r="A15" s="25" t="s">
        <v>211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6"/>
      <c r="E26" s="2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7" t="s">
        <v>212</v>
      </c>
      <c r="C7" s="37" t="s">
        <v>213</v>
      </c>
      <c r="D7" s="37" t="s">
        <v>214</v>
      </c>
      <c r="E7" s="37" t="s">
        <v>215</v>
      </c>
      <c r="F7" s="38" t="s">
        <v>216</v>
      </c>
      <c r="G7" s="39" t="s">
        <v>217</v>
      </c>
      <c r="H7" s="37" t="s">
        <v>9</v>
      </c>
      <c r="I7" s="37" t="s">
        <v>218</v>
      </c>
      <c r="J7" s="37"/>
      <c r="K7" s="10"/>
      <c r="L7" s="10"/>
      <c r="M7" s="10"/>
      <c r="N7" s="10"/>
      <c r="O7" s="10"/>
      <c r="P7" s="10"/>
      <c r="Q7" s="10"/>
      <c r="R7" s="10"/>
      <c r="S7" s="10"/>
      <c r="T7" s="10"/>
      <c r="U7" s="10"/>
      <c r="V7" s="10"/>
      <c r="W7" s="10"/>
      <c r="X7" s="10"/>
      <c r="Y7" s="10"/>
      <c r="Z7" s="10"/>
    </row>
    <row r="8" ht="50.25" customHeight="1">
      <c r="A8" s="48" t="s">
        <v>12</v>
      </c>
      <c r="B8" s="12" t="s">
        <v>13</v>
      </c>
      <c r="C8" s="13" t="s">
        <v>14</v>
      </c>
      <c r="D8" s="84" t="s">
        <v>219</v>
      </c>
      <c r="E8" s="85">
        <v>220000.0</v>
      </c>
      <c r="F8" s="85">
        <f t="shared" ref="F8:F10" si="1">E8*1.19</f>
        <v>261800</v>
      </c>
      <c r="G8" s="86" t="s">
        <v>181</v>
      </c>
      <c r="H8" s="17" t="s">
        <v>17</v>
      </c>
      <c r="I8" s="84" t="s">
        <v>42</v>
      </c>
      <c r="J8" s="84"/>
    </row>
    <row r="9" ht="50.25" customHeight="1">
      <c r="A9" s="48" t="s">
        <v>20</v>
      </c>
      <c r="B9" s="20" t="s">
        <v>21</v>
      </c>
      <c r="C9" s="13" t="s">
        <v>22</v>
      </c>
      <c r="D9" s="84" t="s">
        <v>219</v>
      </c>
      <c r="E9" s="85">
        <v>210000.0</v>
      </c>
      <c r="F9" s="85">
        <f t="shared" si="1"/>
        <v>249900</v>
      </c>
      <c r="G9" s="86" t="s">
        <v>220</v>
      </c>
      <c r="H9" s="17" t="s">
        <v>17</v>
      </c>
      <c r="I9" s="84" t="s">
        <v>42</v>
      </c>
      <c r="J9" s="84"/>
    </row>
    <row r="10" ht="50.25" customHeight="1">
      <c r="A10" s="48" t="s">
        <v>25</v>
      </c>
      <c r="B10" s="12" t="s">
        <v>26</v>
      </c>
      <c r="C10" s="13" t="s">
        <v>27</v>
      </c>
      <c r="D10" s="84" t="s">
        <v>219</v>
      </c>
      <c r="E10" s="85">
        <v>215000.0</v>
      </c>
      <c r="F10" s="85">
        <f t="shared" si="1"/>
        <v>255850</v>
      </c>
      <c r="G10" s="86" t="s">
        <v>221</v>
      </c>
      <c r="H10" s="17" t="s">
        <v>17</v>
      </c>
      <c r="I10" s="84" t="s">
        <v>42</v>
      </c>
      <c r="J10" s="84"/>
    </row>
    <row r="11" ht="15.0" hidden="1" customHeight="1">
      <c r="A11" s="23"/>
      <c r="B11" s="52"/>
      <c r="C11" s="52"/>
      <c r="D11" s="52"/>
      <c r="E11" s="52"/>
      <c r="F11" s="52"/>
      <c r="G11" s="52"/>
      <c r="H11" s="52"/>
      <c r="I11" s="52"/>
      <c r="J11" s="52"/>
    </row>
    <row r="12" ht="12.75" customHeight="1"/>
    <row r="13" ht="138.75" customHeight="1">
      <c r="A13" s="25" t="s">
        <v>222</v>
      </c>
      <c r="B13" s="4"/>
      <c r="C13" s="4"/>
      <c r="D13" s="4"/>
      <c r="E13" s="4"/>
      <c r="F13" s="4"/>
      <c r="G13" s="4"/>
      <c r="H13" s="4"/>
      <c r="I13" s="4"/>
      <c r="J13" s="5"/>
    </row>
    <row r="14" ht="12.75" customHeight="1"/>
    <row r="15" ht="75.0" customHeight="1">
      <c r="A15" s="25" t="s">
        <v>223</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6"/>
      <c r="E26" s="2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7" t="s">
        <v>224</v>
      </c>
      <c r="C7" s="37" t="s">
        <v>225</v>
      </c>
      <c r="D7" s="37" t="s">
        <v>226</v>
      </c>
      <c r="E7" s="37" t="s">
        <v>227</v>
      </c>
      <c r="F7" s="38" t="s">
        <v>228</v>
      </c>
      <c r="G7" s="39" t="s">
        <v>229</v>
      </c>
      <c r="H7" s="37" t="s">
        <v>9</v>
      </c>
      <c r="I7" s="37" t="s">
        <v>230</v>
      </c>
      <c r="J7" s="37"/>
      <c r="K7" s="10"/>
      <c r="L7" s="10"/>
      <c r="M7" s="10"/>
      <c r="N7" s="10"/>
      <c r="O7" s="10"/>
      <c r="P7" s="10"/>
      <c r="Q7" s="10"/>
      <c r="R7" s="10"/>
      <c r="S7" s="10"/>
      <c r="T7" s="10"/>
      <c r="U7" s="10"/>
      <c r="V7" s="10"/>
      <c r="W7" s="10"/>
      <c r="X7" s="10"/>
      <c r="Y7" s="10"/>
      <c r="Z7" s="10"/>
    </row>
    <row r="8" ht="50.25" customHeight="1">
      <c r="A8" s="48" t="s">
        <v>12</v>
      </c>
      <c r="B8" s="12" t="s">
        <v>13</v>
      </c>
      <c r="C8" s="13" t="s">
        <v>14</v>
      </c>
      <c r="D8" s="60" t="s">
        <v>231</v>
      </c>
      <c r="E8" s="87">
        <v>160000.0</v>
      </c>
      <c r="F8" s="88">
        <f t="shared" ref="F8:F10" si="1">E8*1.19</f>
        <v>190400</v>
      </c>
      <c r="G8" s="33" t="s">
        <v>111</v>
      </c>
      <c r="H8" s="17" t="s">
        <v>17</v>
      </c>
      <c r="I8" s="89" t="s">
        <v>18</v>
      </c>
      <c r="J8" s="62"/>
    </row>
    <row r="9" ht="50.25" customHeight="1">
      <c r="A9" s="48" t="s">
        <v>20</v>
      </c>
      <c r="B9" s="20" t="s">
        <v>21</v>
      </c>
      <c r="C9" s="13" t="s">
        <v>22</v>
      </c>
      <c r="D9" s="60" t="s">
        <v>231</v>
      </c>
      <c r="E9" s="87">
        <v>150000.0</v>
      </c>
      <c r="F9" s="88">
        <f t="shared" si="1"/>
        <v>178500</v>
      </c>
      <c r="G9" s="33" t="s">
        <v>232</v>
      </c>
      <c r="H9" s="17" t="s">
        <v>17</v>
      </c>
      <c r="I9" s="89" t="s">
        <v>18</v>
      </c>
      <c r="J9" s="90"/>
    </row>
    <row r="10" ht="50.25" customHeight="1">
      <c r="A10" s="48" t="s">
        <v>25</v>
      </c>
      <c r="B10" s="12" t="s">
        <v>26</v>
      </c>
      <c r="C10" s="13" t="s">
        <v>27</v>
      </c>
      <c r="D10" s="60" t="s">
        <v>231</v>
      </c>
      <c r="E10" s="87">
        <v>155000.0</v>
      </c>
      <c r="F10" s="88">
        <f t="shared" si="1"/>
        <v>184450</v>
      </c>
      <c r="G10" s="33" t="s">
        <v>233</v>
      </c>
      <c r="H10" s="17" t="s">
        <v>17</v>
      </c>
      <c r="I10" s="89" t="s">
        <v>18</v>
      </c>
      <c r="J10" s="90"/>
    </row>
    <row r="11" ht="15.0" hidden="1" customHeight="1">
      <c r="A11" s="23"/>
      <c r="B11" s="52"/>
      <c r="C11" s="52"/>
      <c r="D11" s="52"/>
      <c r="E11" s="52"/>
      <c r="F11" s="52"/>
      <c r="G11" s="52"/>
      <c r="H11" s="52"/>
      <c r="I11" s="52"/>
      <c r="J11" s="52"/>
    </row>
    <row r="12" ht="12.75" customHeight="1"/>
    <row r="13" ht="138.75" customHeight="1">
      <c r="A13" s="25" t="s">
        <v>234</v>
      </c>
      <c r="B13" s="4"/>
      <c r="C13" s="4"/>
      <c r="D13" s="4"/>
      <c r="E13" s="4"/>
      <c r="F13" s="4"/>
      <c r="G13" s="4"/>
      <c r="H13" s="4"/>
      <c r="I13" s="4"/>
      <c r="J13" s="5"/>
    </row>
    <row r="14" ht="12.75" customHeight="1"/>
    <row r="15" ht="75.0" customHeight="1">
      <c r="A15" s="25" t="s">
        <v>235</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6"/>
      <c r="E26" s="2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7" t="s">
        <v>236</v>
      </c>
      <c r="C7" s="37" t="s">
        <v>237</v>
      </c>
      <c r="D7" s="37" t="s">
        <v>238</v>
      </c>
      <c r="E7" s="37" t="s">
        <v>239</v>
      </c>
      <c r="F7" s="38" t="s">
        <v>240</v>
      </c>
      <c r="G7" s="39" t="s">
        <v>241</v>
      </c>
      <c r="H7" s="37" t="s">
        <v>9</v>
      </c>
      <c r="I7" s="91" t="s">
        <v>242</v>
      </c>
      <c r="J7" s="37" t="s">
        <v>243</v>
      </c>
      <c r="K7" s="10"/>
      <c r="L7" s="10"/>
      <c r="M7" s="10"/>
      <c r="N7" s="10"/>
      <c r="O7" s="10"/>
      <c r="P7" s="10"/>
      <c r="Q7" s="10"/>
      <c r="R7" s="10"/>
      <c r="S7" s="10"/>
      <c r="T7" s="10"/>
      <c r="U7" s="10"/>
      <c r="V7" s="10"/>
      <c r="W7" s="10"/>
      <c r="X7" s="10"/>
      <c r="Y7" s="10"/>
      <c r="Z7" s="10"/>
    </row>
    <row r="8" ht="50.25" customHeight="1">
      <c r="A8" s="48" t="s">
        <v>12</v>
      </c>
      <c r="B8" s="92" t="s">
        <v>244</v>
      </c>
      <c r="C8" s="13"/>
      <c r="D8" s="93" t="s">
        <v>245</v>
      </c>
      <c r="E8" s="94">
        <v>90000.0</v>
      </c>
      <c r="F8" s="71">
        <f t="shared" ref="F8:F10" si="1">E8*1.19</f>
        <v>107100</v>
      </c>
      <c r="G8" s="31" t="s">
        <v>207</v>
      </c>
      <c r="H8" s="17" t="s">
        <v>17</v>
      </c>
      <c r="I8" s="60" t="s">
        <v>42</v>
      </c>
      <c r="J8" s="93" t="s">
        <v>246</v>
      </c>
    </row>
    <row r="9" ht="50.25" customHeight="1">
      <c r="A9" s="48" t="s">
        <v>20</v>
      </c>
      <c r="B9" s="95" t="s">
        <v>247</v>
      </c>
      <c r="C9" s="13"/>
      <c r="D9" s="93" t="s">
        <v>245</v>
      </c>
      <c r="E9" s="94">
        <v>90000.0</v>
      </c>
      <c r="F9" s="71">
        <f t="shared" si="1"/>
        <v>107100</v>
      </c>
      <c r="G9" s="31" t="s">
        <v>208</v>
      </c>
      <c r="H9" s="17" t="s">
        <v>17</v>
      </c>
      <c r="I9" s="60" t="s">
        <v>42</v>
      </c>
      <c r="J9" s="93" t="s">
        <v>248</v>
      </c>
    </row>
    <row r="10" ht="50.25" customHeight="1">
      <c r="A10" s="48" t="s">
        <v>25</v>
      </c>
      <c r="B10" s="92" t="s">
        <v>249</v>
      </c>
      <c r="C10" s="13"/>
      <c r="D10" s="93" t="s">
        <v>245</v>
      </c>
      <c r="E10" s="94">
        <v>90000.0</v>
      </c>
      <c r="F10" s="71">
        <f t="shared" si="1"/>
        <v>107100</v>
      </c>
      <c r="G10" s="31" t="s">
        <v>209</v>
      </c>
      <c r="H10" s="17" t="s">
        <v>17</v>
      </c>
      <c r="I10" s="60" t="s">
        <v>42</v>
      </c>
      <c r="J10" s="96" t="s">
        <v>250</v>
      </c>
    </row>
    <row r="11" ht="15.0" hidden="1" customHeight="1">
      <c r="A11" s="23"/>
      <c r="B11" s="52"/>
      <c r="C11" s="52"/>
      <c r="D11" s="52"/>
      <c r="E11" s="52"/>
      <c r="F11" s="52"/>
      <c r="G11" s="82">
        <f>F11+E11</f>
        <v>0</v>
      </c>
      <c r="H11" s="52"/>
      <c r="I11" s="52"/>
      <c r="J11" s="52"/>
    </row>
    <row r="12" ht="12.75" customHeight="1">
      <c r="G12" s="83"/>
    </row>
    <row r="13" ht="138.75" customHeight="1">
      <c r="A13" s="25" t="s">
        <v>251</v>
      </c>
      <c r="B13" s="4"/>
      <c r="C13" s="4"/>
      <c r="D13" s="4"/>
      <c r="E13" s="4"/>
      <c r="F13" s="4"/>
      <c r="G13" s="4"/>
      <c r="H13" s="4"/>
      <c r="I13" s="4"/>
      <c r="J13" s="5"/>
    </row>
    <row r="14" ht="12.75" customHeight="1"/>
    <row r="15" ht="75.0" customHeight="1">
      <c r="A15" s="25" t="s">
        <v>252</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6"/>
      <c r="E26" s="2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17.0"/>
    <col customWidth="1" min="6" max="6" width="21.88"/>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7" t="s">
        <v>253</v>
      </c>
      <c r="C7" s="37" t="s">
        <v>254</v>
      </c>
      <c r="D7" s="37" t="s">
        <v>255</v>
      </c>
      <c r="E7" s="37" t="s">
        <v>256</v>
      </c>
      <c r="F7" s="38" t="s">
        <v>257</v>
      </c>
      <c r="G7" s="39" t="s">
        <v>258</v>
      </c>
      <c r="H7" s="37" t="s">
        <v>9</v>
      </c>
      <c r="I7" s="37" t="s">
        <v>259</v>
      </c>
      <c r="J7" s="37" t="s">
        <v>260</v>
      </c>
      <c r="K7" s="10"/>
      <c r="L7" s="10"/>
      <c r="M7" s="10"/>
      <c r="N7" s="10"/>
      <c r="O7" s="10"/>
      <c r="P7" s="10"/>
      <c r="Q7" s="10"/>
      <c r="R7" s="10"/>
      <c r="S7" s="10"/>
      <c r="T7" s="10"/>
      <c r="U7" s="10"/>
      <c r="V7" s="10"/>
      <c r="W7" s="10"/>
      <c r="X7" s="10"/>
      <c r="Y7" s="10"/>
      <c r="Z7" s="10"/>
    </row>
    <row r="8" ht="50.25" customHeight="1">
      <c r="A8" s="48" t="s">
        <v>12</v>
      </c>
      <c r="B8" s="96" t="s">
        <v>261</v>
      </c>
      <c r="C8" s="73"/>
      <c r="D8" s="93" t="s">
        <v>262</v>
      </c>
      <c r="E8" s="97">
        <v>35000.0</v>
      </c>
      <c r="F8" s="71">
        <f>E8*1.19</f>
        <v>41650</v>
      </c>
      <c r="G8" s="74" t="s">
        <v>197</v>
      </c>
      <c r="H8" s="17" t="s">
        <v>17</v>
      </c>
      <c r="I8" s="60" t="s">
        <v>18</v>
      </c>
      <c r="J8" s="93" t="s">
        <v>263</v>
      </c>
    </row>
    <row r="9" ht="50.25" customHeight="1">
      <c r="A9" s="75"/>
      <c r="B9" s="76"/>
      <c r="C9" s="77"/>
      <c r="D9" s="77"/>
      <c r="E9" s="77"/>
      <c r="F9" s="77"/>
      <c r="G9" s="77"/>
      <c r="H9" s="77"/>
      <c r="I9" s="77"/>
      <c r="J9" s="77"/>
    </row>
    <row r="10" ht="50.25" customHeight="1">
      <c r="A10" s="75"/>
      <c r="B10" s="76"/>
      <c r="C10" s="78"/>
      <c r="D10" s="78"/>
      <c r="E10" s="78"/>
      <c r="F10" s="78"/>
      <c r="G10" s="78"/>
      <c r="H10" s="78"/>
      <c r="I10" s="78"/>
      <c r="J10" s="78"/>
    </row>
    <row r="11" ht="15.0" hidden="1" customHeight="1">
      <c r="A11" s="1"/>
      <c r="B11" s="79"/>
      <c r="C11" s="79"/>
      <c r="D11" s="79"/>
      <c r="E11" s="79"/>
      <c r="F11" s="79"/>
      <c r="G11" s="79"/>
      <c r="H11" s="79"/>
      <c r="I11" s="79"/>
      <c r="J11" s="79"/>
    </row>
    <row r="12" ht="12.75" customHeight="1">
      <c r="A12" s="80"/>
      <c r="B12" s="80"/>
      <c r="C12" s="80"/>
      <c r="D12" s="80"/>
      <c r="E12" s="80"/>
      <c r="F12" s="80"/>
      <c r="G12" s="80"/>
      <c r="H12" s="80"/>
      <c r="I12" s="80"/>
      <c r="J12" s="80"/>
    </row>
    <row r="13" ht="138.75" customHeight="1">
      <c r="A13" s="81"/>
      <c r="B13" s="1"/>
      <c r="C13" s="1"/>
      <c r="D13" s="1"/>
      <c r="E13" s="1"/>
      <c r="F13" s="1"/>
      <c r="G13" s="1"/>
      <c r="H13" s="1"/>
      <c r="I13" s="1"/>
      <c r="J13" s="1"/>
    </row>
    <row r="14" ht="12.75" customHeight="1">
      <c r="A14" s="80"/>
      <c r="B14" s="80"/>
      <c r="C14" s="80"/>
      <c r="D14" s="80"/>
      <c r="E14" s="80"/>
      <c r="F14" s="80"/>
      <c r="G14" s="80"/>
      <c r="H14" s="80"/>
      <c r="I14" s="80"/>
      <c r="J14" s="80"/>
    </row>
    <row r="15" ht="75.0" customHeight="1">
      <c r="A15" s="81"/>
      <c r="B15" s="1"/>
      <c r="C15" s="1"/>
      <c r="D15" s="1"/>
      <c r="E15" s="1"/>
      <c r="F15" s="1"/>
      <c r="G15" s="1"/>
      <c r="H15" s="1"/>
      <c r="I15" s="1"/>
      <c r="J15" s="1"/>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6"/>
      <c r="E26" s="2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D2:H2"/>
    <mergeCell ref="A5:J5"/>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17.0"/>
    <col customWidth="1" min="6" max="6" width="21.88"/>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7" t="s">
        <v>264</v>
      </c>
      <c r="C7" s="37" t="s">
        <v>265</v>
      </c>
      <c r="D7" s="37" t="s">
        <v>266</v>
      </c>
      <c r="E7" s="37" t="s">
        <v>267</v>
      </c>
      <c r="F7" s="38" t="s">
        <v>268</v>
      </c>
      <c r="G7" s="39" t="s">
        <v>269</v>
      </c>
      <c r="H7" s="37" t="s">
        <v>9</v>
      </c>
      <c r="I7" s="37" t="s">
        <v>270</v>
      </c>
      <c r="J7" s="37" t="s">
        <v>271</v>
      </c>
      <c r="K7" s="10"/>
      <c r="L7" s="10"/>
      <c r="M7" s="10"/>
      <c r="N7" s="10"/>
      <c r="O7" s="10"/>
      <c r="P7" s="10"/>
      <c r="Q7" s="10"/>
      <c r="R7" s="10"/>
      <c r="S7" s="10"/>
      <c r="T7" s="10"/>
      <c r="U7" s="10"/>
      <c r="V7" s="10"/>
      <c r="W7" s="10"/>
      <c r="X7" s="10"/>
      <c r="Y7" s="10"/>
      <c r="Z7" s="10"/>
    </row>
    <row r="8" ht="50.25" customHeight="1">
      <c r="A8" s="48" t="s">
        <v>12</v>
      </c>
      <c r="B8" s="96" t="s">
        <v>272</v>
      </c>
      <c r="C8" s="73"/>
      <c r="D8" s="93" t="s">
        <v>273</v>
      </c>
      <c r="E8" s="97">
        <v>120000.0</v>
      </c>
      <c r="F8" s="71">
        <f>E8*1.19</f>
        <v>142800</v>
      </c>
      <c r="G8" s="74" t="s">
        <v>197</v>
      </c>
      <c r="H8" s="17" t="s">
        <v>17</v>
      </c>
      <c r="I8" s="60" t="s">
        <v>18</v>
      </c>
      <c r="J8" s="93" t="s">
        <v>274</v>
      </c>
    </row>
    <row r="9" ht="50.25" customHeight="1">
      <c r="A9" s="75"/>
      <c r="B9" s="76"/>
      <c r="C9" s="77"/>
      <c r="D9" s="77"/>
      <c r="E9" s="77"/>
      <c r="F9" s="77"/>
      <c r="G9" s="77"/>
      <c r="H9" s="77"/>
      <c r="I9" s="77"/>
      <c r="J9" s="77"/>
    </row>
    <row r="10" ht="50.25" customHeight="1">
      <c r="A10" s="75"/>
      <c r="B10" s="76"/>
      <c r="C10" s="78"/>
      <c r="D10" s="78"/>
      <c r="E10" s="78"/>
      <c r="F10" s="78"/>
      <c r="G10" s="78"/>
      <c r="H10" s="78"/>
      <c r="I10" s="78"/>
      <c r="J10" s="78"/>
    </row>
    <row r="11" ht="15.0" hidden="1" customHeight="1">
      <c r="A11" s="1"/>
      <c r="B11" s="79"/>
      <c r="C11" s="79"/>
      <c r="D11" s="79"/>
      <c r="E11" s="79"/>
      <c r="F11" s="79"/>
      <c r="G11" s="79"/>
      <c r="H11" s="79"/>
      <c r="I11" s="79"/>
      <c r="J11" s="79"/>
    </row>
    <row r="12" ht="12.75" customHeight="1">
      <c r="A12" s="80"/>
      <c r="B12" s="80"/>
      <c r="C12" s="80"/>
      <c r="D12" s="80"/>
      <c r="E12" s="80"/>
      <c r="F12" s="80"/>
      <c r="G12" s="80"/>
      <c r="H12" s="80"/>
      <c r="I12" s="80"/>
      <c r="J12" s="80"/>
    </row>
    <row r="13" ht="138.75" customHeight="1">
      <c r="A13" s="81"/>
      <c r="B13" s="1"/>
      <c r="C13" s="1"/>
      <c r="D13" s="1"/>
      <c r="E13" s="1"/>
      <c r="F13" s="1"/>
      <c r="G13" s="1"/>
      <c r="H13" s="1"/>
      <c r="I13" s="1"/>
      <c r="J13" s="1"/>
    </row>
    <row r="14" ht="12.75" customHeight="1">
      <c r="A14" s="80"/>
      <c r="B14" s="80"/>
      <c r="C14" s="80"/>
      <c r="D14" s="80"/>
      <c r="E14" s="80"/>
      <c r="F14" s="80"/>
      <c r="G14" s="80"/>
      <c r="H14" s="80"/>
      <c r="I14" s="80"/>
      <c r="J14" s="80"/>
    </row>
    <row r="15" ht="75.0" customHeight="1">
      <c r="A15" s="81"/>
      <c r="B15" s="1"/>
      <c r="C15" s="1"/>
      <c r="D15" s="1"/>
      <c r="E15" s="1"/>
      <c r="F15" s="1"/>
      <c r="G15" s="1"/>
      <c r="H15" s="1"/>
      <c r="I15" s="1"/>
      <c r="J15" s="1"/>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6"/>
      <c r="E26" s="2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D2:H2"/>
    <mergeCell ref="A5:J5"/>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17.0"/>
    <col customWidth="1" min="6" max="6" width="21.88"/>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7" t="s">
        <v>275</v>
      </c>
      <c r="C7" s="37" t="s">
        <v>276</v>
      </c>
      <c r="D7" s="37" t="s">
        <v>277</v>
      </c>
      <c r="E7" s="37" t="s">
        <v>278</v>
      </c>
      <c r="F7" s="38" t="s">
        <v>279</v>
      </c>
      <c r="G7" s="39" t="s">
        <v>280</v>
      </c>
      <c r="H7" s="37" t="s">
        <v>9</v>
      </c>
      <c r="I7" s="37" t="s">
        <v>281</v>
      </c>
      <c r="J7" s="37" t="s">
        <v>282</v>
      </c>
      <c r="K7" s="10"/>
      <c r="L7" s="10"/>
      <c r="M7" s="10"/>
      <c r="N7" s="10"/>
      <c r="O7" s="10"/>
      <c r="P7" s="10"/>
      <c r="Q7" s="10"/>
      <c r="R7" s="10"/>
      <c r="S7" s="10"/>
      <c r="T7" s="10"/>
      <c r="U7" s="10"/>
      <c r="V7" s="10"/>
      <c r="W7" s="10"/>
      <c r="X7" s="10"/>
      <c r="Y7" s="10"/>
      <c r="Z7" s="10"/>
    </row>
    <row r="8" ht="50.25" customHeight="1">
      <c r="A8" s="48" t="s">
        <v>12</v>
      </c>
      <c r="B8" s="96" t="s">
        <v>283</v>
      </c>
      <c r="C8" s="73"/>
      <c r="D8" s="93" t="s">
        <v>284</v>
      </c>
      <c r="E8" s="97">
        <v>150000.0</v>
      </c>
      <c r="F8" s="71">
        <f>E8*1.19</f>
        <v>178500</v>
      </c>
      <c r="G8" s="74" t="s">
        <v>197</v>
      </c>
      <c r="H8" s="17" t="s">
        <v>17</v>
      </c>
      <c r="I8" s="60" t="s">
        <v>18</v>
      </c>
      <c r="J8" s="93" t="s">
        <v>285</v>
      </c>
    </row>
    <row r="9" ht="50.25" customHeight="1">
      <c r="A9" s="75"/>
      <c r="B9" s="76"/>
      <c r="C9" s="77"/>
      <c r="D9" s="77"/>
      <c r="E9" s="77"/>
      <c r="F9" s="77"/>
      <c r="G9" s="77"/>
      <c r="H9" s="77"/>
      <c r="I9" s="77"/>
      <c r="J9" s="77"/>
    </row>
    <row r="10" ht="50.25" customHeight="1">
      <c r="A10" s="75"/>
      <c r="B10" s="76"/>
      <c r="C10" s="78"/>
      <c r="D10" s="78"/>
      <c r="E10" s="78"/>
      <c r="F10" s="78"/>
      <c r="G10" s="78"/>
      <c r="H10" s="78"/>
      <c r="I10" s="78"/>
      <c r="J10" s="78"/>
    </row>
    <row r="11" ht="15.0" hidden="1" customHeight="1">
      <c r="A11" s="1"/>
      <c r="B11" s="79"/>
      <c r="C11" s="79"/>
      <c r="D11" s="79"/>
      <c r="E11" s="79"/>
      <c r="F11" s="79"/>
      <c r="G11" s="79"/>
      <c r="H11" s="79"/>
      <c r="I11" s="79"/>
      <c r="J11" s="79"/>
    </row>
    <row r="12" ht="12.75" customHeight="1">
      <c r="A12" s="80"/>
      <c r="B12" s="80"/>
      <c r="C12" s="80"/>
      <c r="D12" s="80"/>
      <c r="E12" s="80"/>
      <c r="F12" s="80"/>
      <c r="G12" s="80"/>
      <c r="H12" s="80"/>
      <c r="I12" s="80"/>
      <c r="J12" s="80"/>
    </row>
    <row r="13" ht="138.75" customHeight="1">
      <c r="A13" s="81"/>
      <c r="B13" s="1"/>
      <c r="C13" s="1"/>
      <c r="D13" s="1"/>
      <c r="E13" s="1"/>
      <c r="F13" s="1"/>
      <c r="G13" s="1"/>
      <c r="H13" s="1"/>
      <c r="I13" s="1"/>
      <c r="J13" s="1"/>
    </row>
    <row r="14" ht="12.75" customHeight="1">
      <c r="A14" s="80"/>
      <c r="B14" s="80"/>
      <c r="C14" s="80"/>
      <c r="D14" s="80"/>
      <c r="E14" s="80"/>
      <c r="F14" s="80"/>
      <c r="G14" s="80"/>
      <c r="H14" s="80"/>
      <c r="I14" s="80"/>
      <c r="J14" s="80"/>
    </row>
    <row r="15" ht="75.0" customHeight="1">
      <c r="A15" s="81"/>
      <c r="B15" s="1"/>
      <c r="C15" s="1"/>
      <c r="D15" s="1"/>
      <c r="E15" s="1"/>
      <c r="F15" s="1"/>
      <c r="G15" s="1"/>
      <c r="H15" s="1"/>
      <c r="I15" s="1"/>
      <c r="J15" s="1"/>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6"/>
      <c r="E26" s="26"/>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D2:H2"/>
    <mergeCell ref="A5:J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